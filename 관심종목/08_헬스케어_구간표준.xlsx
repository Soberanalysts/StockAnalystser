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간 표준" sheetId="1" state="visible" r:id="rId3"/>
    <sheet name="원래 그룹 정리" sheetId="2" state="visible" r:id="rId4"/>
    <sheet name="종목 목록" sheetId="3" state="visible" r:id="rId5"/>
  </sheets>
  <definedNames>
    <definedName function="false" hidden="true" localSheetId="2" name="_xlnm._FilterDatabase" vbProcedure="false">'종목 목록'!$A$1:$I$94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<sst xmlns="http://schemas.openxmlformats.org/spreadsheetml/2006/main" count="794" uniqueCount="323">
  <si>
    <r>
      <rPr>
        <b val="true"/>
        <sz val="14"/>
        <rFont val="Arial"/>
        <family val="0"/>
        <charset val="1"/>
      </rPr>
      <t xml:space="preserve">08 </t>
    </r>
    <r>
      <rPr>
        <b val="true"/>
        <sz val="14"/>
        <rFont val="Noto Sans CJK SC"/>
        <family val="2"/>
      </rPr>
      <t xml:space="preserve">헬스케어 구간 표준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국장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미장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일장 공통 순서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</si>
  <si>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666666"/>
        <rFont val="Noto Sans CJK SC"/>
        <family val="2"/>
      </rPr>
      <t xml:space="preserve">종목 수는 </t>
    </r>
    <r>
      <rPr>
        <i val="true"/>
        <sz val="9"/>
        <color rgb="FF666666"/>
        <rFont val="Arial"/>
        <family val="0"/>
        <charset val="1"/>
      </rPr>
      <t xml:space="preserve">'</t>
    </r>
    <r>
      <rPr>
        <i val="true"/>
        <sz val="9"/>
        <color rgb="FF666666"/>
        <rFont val="Noto Sans CJK SC"/>
        <family val="2"/>
      </rPr>
      <t xml:space="preserve">종목 목록</t>
    </r>
    <r>
      <rPr>
        <i val="true"/>
        <sz val="9"/>
        <color rgb="FF666666"/>
        <rFont val="Arial"/>
        <family val="0"/>
        <charset val="1"/>
      </rPr>
      <t xml:space="preserve">' </t>
    </r>
    <r>
      <rPr>
        <i val="true"/>
        <sz val="9"/>
        <color rgb="FF666666"/>
        <rFont val="Noto Sans CJK SC"/>
        <family val="2"/>
      </rPr>
      <t xml:space="preserve">시트에서 자동 집계</t>
    </r>
    <r>
      <rPr>
        <i val="true"/>
        <sz val="9"/>
        <color rgb="FF666666"/>
        <rFont val="Arial"/>
        <family val="0"/>
        <charset val="1"/>
      </rPr>
      <t xml:space="preserve">("</t>
    </r>
    <r>
      <rPr>
        <i val="true"/>
        <sz val="9"/>
        <color rgb="FF666666"/>
        <rFont val="Noto Sans CJK SC"/>
        <family val="2"/>
      </rPr>
      <t xml:space="preserve">탭 밖 이동</t>
    </r>
    <r>
      <rPr>
        <i val="true"/>
        <sz val="9"/>
        <color rgb="FF666666"/>
        <rFont val="Arial"/>
        <family val="0"/>
        <charset val="1"/>
      </rPr>
      <t xml:space="preserve">" </t>
    </r>
    <r>
      <rPr>
        <i val="true"/>
        <sz val="9"/>
        <color rgb="FF666666"/>
        <rFont val="Noto Sans CJK SC"/>
        <family val="2"/>
      </rPr>
      <t xml:space="preserve">제외</t>
    </r>
    <r>
      <rPr>
        <i val="true"/>
        <sz val="9"/>
        <color rgb="FF666666"/>
        <rFont val="Arial"/>
        <family val="0"/>
        <charset val="1"/>
      </rPr>
      <t xml:space="preserve">). </t>
    </r>
    <r>
      <rPr>
        <i val="true"/>
        <sz val="9"/>
        <color rgb="FF666666"/>
        <rFont val="Noto Sans CJK SC"/>
        <family val="2"/>
      </rPr>
      <t xml:space="preserve">신규 종목은 종목 목록 시트에 파란색으로 표시</t>
    </r>
    <r>
      <rPr>
        <i val="true"/>
        <sz val="9"/>
        <color rgb="FF666666"/>
        <rFont val="Arial"/>
        <family val="0"/>
        <charset val="1"/>
      </rPr>
      <t xml:space="preserve">.</t>
    </r>
  </si>
  <si>
    <t xml:space="preserve">순서</t>
  </si>
  <si>
    <t xml:space="preserve">표준 구간</t>
  </si>
  <si>
    <t xml:space="preserve">국장</t>
  </si>
  <si>
    <t xml:space="preserve">미장</t>
  </si>
  <si>
    <t xml:space="preserve">일장</t>
  </si>
  <si>
    <t xml:space="preserve">국장 종목</t>
  </si>
  <si>
    <t xml:space="preserve">미장 종목</t>
  </si>
  <si>
    <t xml:space="preserve">일장 종목</t>
  </si>
  <si>
    <t xml:space="preserve">시밀러 대형제약</t>
  </si>
  <si>
    <r>
      <rPr>
        <sz val="11"/>
        <rFont val="Noto Sans CJK SC"/>
        <family val="2"/>
      </rPr>
      <t xml:space="preserve">셀트리온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셀트리온제약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삼성에피스홀딩스</t>
    </r>
    <r>
      <rPr>
        <sz val="11"/>
        <rFont val="Arial"/>
        <family val="0"/>
        <charset val="1"/>
      </rPr>
      <t xml:space="preserve">, LG</t>
    </r>
    <r>
      <rPr>
        <sz val="11"/>
        <rFont val="Noto Sans CJK SC"/>
        <family val="2"/>
      </rPr>
      <t xml:space="preserve">화학</t>
    </r>
  </si>
  <si>
    <r>
      <rPr>
        <sz val="11"/>
        <rFont val="Noto Sans CJK SC"/>
        <family val="2"/>
      </rPr>
      <t xml:space="preserve">화이자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애브비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머크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존슨 앤드 존슨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테바 파머슈티컬 인더스트리스</t>
    </r>
    <r>
      <rPr>
        <sz val="11"/>
        <rFont val="Arial"/>
        <family val="0"/>
        <charset val="1"/>
      </rPr>
      <t xml:space="preserve">(ADR), </t>
    </r>
    <r>
      <rPr>
        <sz val="11"/>
        <rFont val="Noto Sans CJK SC"/>
        <family val="2"/>
      </rPr>
      <t xml:space="preserve">암젠</t>
    </r>
  </si>
  <si>
    <r>
      <rPr>
        <sz val="11"/>
        <rFont val="Noto Sans CJK SC"/>
        <family val="2"/>
      </rPr>
      <t xml:space="preserve">다케다약품공업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아스텔라스제약</t>
    </r>
  </si>
  <si>
    <r>
      <rPr>
        <sz val="11"/>
        <rFont val="Arial"/>
        <family val="0"/>
        <charset val="1"/>
      </rPr>
      <t xml:space="preserve">CDMO </t>
    </r>
    <r>
      <rPr>
        <sz val="11"/>
        <rFont val="Noto Sans CJK SC"/>
        <family val="2"/>
      </rPr>
      <t xml:space="preserve">바이오장비</t>
    </r>
  </si>
  <si>
    <r>
      <rPr>
        <sz val="11"/>
        <rFont val="Noto Sans CJK SC"/>
        <family val="2"/>
      </rPr>
      <t xml:space="preserve">삼성바이오로직스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바이넥스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에이프로젠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에스티팜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프레스티지바이오파마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큐리옥스바이오시스템즈</t>
    </r>
  </si>
  <si>
    <r>
      <rPr>
        <sz val="11"/>
        <rFont val="Arial"/>
        <family val="0"/>
        <charset val="1"/>
      </rPr>
      <t xml:space="preserve">10X </t>
    </r>
    <r>
      <rPr>
        <sz val="11"/>
        <rFont val="Noto Sans CJK SC"/>
        <family val="2"/>
      </rPr>
      <t xml:space="preserve">지노믹스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써모 피셔 사이언티픽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다나허</t>
    </r>
  </si>
  <si>
    <t xml:space="preserve">후지필름홀딩스</t>
  </si>
  <si>
    <t xml:space="preserve">플랫폼 신약</t>
  </si>
  <si>
    <r>
      <rPr>
        <sz val="11"/>
        <rFont val="Arial"/>
        <family val="0"/>
        <charset val="1"/>
      </rPr>
      <t xml:space="preserve">HLB, HLB</t>
    </r>
    <r>
      <rPr>
        <sz val="11"/>
        <rFont val="Noto Sans CJK SC"/>
        <family val="2"/>
      </rPr>
      <t xml:space="preserve">제약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알테오젠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보로노이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한올바이오파마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신라젠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삼천당제약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인제니아테라퓨틱스</t>
    </r>
    <r>
      <rPr>
        <sz val="11"/>
        <rFont val="Arial"/>
        <family val="0"/>
        <charset val="1"/>
      </rPr>
      <t xml:space="preserve">(Reg.S), </t>
    </r>
    <r>
      <rPr>
        <sz val="11"/>
        <rFont val="Noto Sans CJK SC"/>
        <family val="2"/>
      </rPr>
      <t xml:space="preserve">바이오니아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삼양바이오팜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바이오팜</t>
    </r>
    <r>
      <rPr>
        <sz val="11"/>
        <rFont val="Arial"/>
        <family val="0"/>
        <charset val="1"/>
      </rPr>
      <t xml:space="preserve">, SK</t>
    </r>
    <r>
      <rPr>
        <sz val="11"/>
        <rFont val="Noto Sans CJK SC"/>
        <family val="2"/>
      </rPr>
      <t xml:space="preserve">바이오사이언스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디앤디파마텍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리가켐바이오</t>
    </r>
  </si>
  <si>
    <r>
      <rPr>
        <sz val="11"/>
        <rFont val="Noto Sans CJK SC"/>
        <family val="2"/>
      </rPr>
      <t xml:space="preserve">렐마다 테라퓨틱스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제논 파머슈티컬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인스메드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빔 테라퓨틱스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유나이티드 테라퓨틱스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버텍스 파머슈티컬</t>
    </r>
  </si>
  <si>
    <r>
      <rPr>
        <sz val="11"/>
        <rFont val="Noto Sans CJK SC"/>
        <family val="2"/>
      </rPr>
      <t xml:space="preserve">다이이치산쿄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주가이제약</t>
    </r>
  </si>
  <si>
    <t xml:space="preserve">전통제약 내수</t>
  </si>
  <si>
    <r>
      <rPr>
        <sz val="11"/>
        <rFont val="Noto Sans CJK SC"/>
        <family val="2"/>
      </rPr>
      <t xml:space="preserve">유한양행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한미약품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한미사이언스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대웅제약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종근당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녹십자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보령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명인제약</t>
    </r>
  </si>
  <si>
    <t xml:space="preserve">–</t>
  </si>
  <si>
    <t xml:space="preserve">비만치료제</t>
  </si>
  <si>
    <r>
      <rPr>
        <sz val="11"/>
        <rFont val="Noto Sans CJK SC"/>
        <family val="2"/>
      </rPr>
      <t xml:space="preserve">펩트론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인벤티지랩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블루엠텍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에스엘에스바이오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올릭스</t>
    </r>
  </si>
  <si>
    <r>
      <rPr>
        <sz val="11"/>
        <rFont val="Noto Sans CJK SC"/>
        <family val="2"/>
      </rPr>
      <t xml:space="preserve">일라이 릴리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노보노디스크</t>
    </r>
    <r>
      <rPr>
        <sz val="11"/>
        <rFont val="Arial"/>
        <family val="0"/>
        <charset val="1"/>
      </rPr>
      <t xml:space="preserve">(ADR)</t>
    </r>
  </si>
  <si>
    <t xml:space="preserve">기타 제약</t>
  </si>
  <si>
    <r>
      <rPr>
        <sz val="11"/>
        <rFont val="Noto Sans CJK SC"/>
        <family val="2"/>
      </rPr>
      <t xml:space="preserve">신풍제약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인트론바이오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녹십자엠에스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삼익제약</t>
    </r>
    <r>
      <rPr>
        <sz val="11"/>
        <rFont val="Arial"/>
        <family val="0"/>
        <charset val="1"/>
      </rPr>
      <t xml:space="preserve">, JW</t>
    </r>
    <r>
      <rPr>
        <sz val="11"/>
        <rFont val="Noto Sans CJK SC"/>
        <family val="2"/>
      </rPr>
      <t xml:space="preserve">신약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현대약품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대화제약</t>
    </r>
  </si>
  <si>
    <t xml:space="preserve">의료기기</t>
  </si>
  <si>
    <r>
      <rPr>
        <sz val="11"/>
        <rFont val="Noto Sans CJK SC"/>
        <family val="2"/>
      </rPr>
      <t xml:space="preserve">쓰리빌리언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뷰노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레메디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루닛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제이엘케이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바텍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제노레이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엘앤씨바이오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파마리서치</t>
    </r>
  </si>
  <si>
    <r>
      <rPr>
        <sz val="11"/>
        <rFont val="Noto Sans CJK SC"/>
        <family val="2"/>
      </rPr>
      <t xml:space="preserve">나테라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애보트 래브러토리스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메드트로닉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인튜이티브 서지컬</t>
    </r>
  </si>
  <si>
    <r>
      <rPr>
        <sz val="11"/>
        <rFont val="Noto Sans CJK SC"/>
        <family val="2"/>
      </rPr>
      <t xml:space="preserve">올림푸스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테루모</t>
    </r>
  </si>
  <si>
    <t xml:space="preserve">덴탈</t>
  </si>
  <si>
    <r>
      <rPr>
        <sz val="11"/>
        <rFont val="Noto Sans CJK SC"/>
        <family val="2"/>
      </rPr>
      <t xml:space="preserve">그래피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덴티움</t>
    </r>
  </si>
  <si>
    <t xml:space="preserve">얼라인 테크놀로지</t>
  </si>
  <si>
    <t xml:space="preserve">헬스케어 서비스</t>
  </si>
  <si>
    <t xml:space="preserve">유나이티드헬스 그룹</t>
  </si>
  <si>
    <t xml:space="preserve">합계</t>
  </si>
  <si>
    <t xml:space="preserve">불러온 뒤 원래 그룹에서 빼야 할 종목</t>
  </si>
  <si>
    <t xml:space="preserve">시장</t>
  </si>
  <si>
    <t xml:space="preserve">원래 위치</t>
  </si>
  <si>
    <t xml:space="preserve">종목명</t>
  </si>
  <si>
    <t xml:space="preserve">옮겨간 곳</t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</si>
  <si>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식품</t>
    </r>
  </si>
  <si>
    <t xml:space="preserve">삼양식품</t>
  </si>
  <si>
    <r>
      <rPr>
        <sz val="11"/>
        <rFont val="Arial"/>
        <family val="0"/>
        <charset val="1"/>
      </rPr>
      <t xml:space="preserve">(12 </t>
    </r>
    <r>
      <rPr>
        <sz val="11"/>
        <rFont val="Noto Sans CJK SC"/>
        <family val="2"/>
      </rPr>
      <t xml:space="preserve">소비재로 이동</t>
    </r>
    <r>
      <rPr>
        <sz val="11"/>
        <rFont val="Arial"/>
        <family val="0"/>
        <charset val="1"/>
      </rPr>
      <t xml:space="preserve">)</t>
    </r>
  </si>
  <si>
    <t xml:space="preserve">오리온</t>
  </si>
  <si>
    <t xml:space="preserve">빙그레</t>
  </si>
  <si>
    <t xml:space="preserve">오뚜기</t>
  </si>
  <si>
    <t xml:space="preserve">해태제과식품</t>
  </si>
  <si>
    <r>
      <rPr>
        <sz val="11"/>
        <rFont val="Noto Sans CJK SC"/>
        <family val="2"/>
      </rPr>
      <t xml:space="preserve">미국 </t>
    </r>
    <r>
      <rPr>
        <sz val="11"/>
        <rFont val="Arial"/>
        <family val="0"/>
        <charset val="1"/>
      </rPr>
      <t xml:space="preserve">new 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</si>
  <si>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렐마다 테라퓨틱스</t>
  </si>
  <si>
    <r>
      <rPr>
        <sz val="11"/>
        <rFont val="Arial"/>
        <family val="0"/>
        <charset val="1"/>
      </rPr>
      <t xml:space="preserve">08 </t>
    </r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플랫폼 신약</t>
    </r>
  </si>
  <si>
    <t xml:space="preserve">제논 파머슈티컬</t>
  </si>
  <si>
    <r>
      <rPr>
        <sz val="11"/>
        <rFont val="Noto Sans CJK SC"/>
        <family val="2"/>
      </rPr>
      <t xml:space="preserve">미국 헬스케어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구간없음</t>
    </r>
    <r>
      <rPr>
        <sz val="11"/>
        <rFont val="Arial"/>
        <family val="0"/>
        <charset val="1"/>
      </rPr>
      <t xml:space="preserve">)</t>
    </r>
  </si>
  <si>
    <t xml:space="preserve">서비스나우</t>
  </si>
  <si>
    <r>
      <rPr>
        <sz val="11"/>
        <rFont val="Arial"/>
        <family val="0"/>
        <charset val="1"/>
      </rPr>
      <t xml:space="preserve">(09 SW</t>
    </r>
    <r>
      <rPr>
        <sz val="11"/>
        <rFont val="Noto Sans CJK SC"/>
        <family val="2"/>
      </rPr>
      <t xml:space="preserve">로 이동</t>
    </r>
    <r>
      <rPr>
        <sz val="11"/>
        <rFont val="Arial"/>
        <family val="0"/>
        <charset val="1"/>
      </rPr>
      <t xml:space="preserve">)</t>
    </r>
  </si>
  <si>
    <t xml:space="preserve">워크데이</t>
  </si>
  <si>
    <t xml:space="preserve">세일스포스</t>
  </si>
  <si>
    <t xml:space="preserve">구간 순서</t>
  </si>
  <si>
    <r>
      <rPr>
        <b val="true"/>
        <sz val="11"/>
        <color rgb="FFFFFFFF"/>
        <rFont val="Noto Sans CJK SC"/>
        <family val="2"/>
      </rPr>
      <t xml:space="preserve">원래 위치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탭 </t>
    </r>
    <r>
      <rPr>
        <b val="true"/>
        <sz val="11"/>
        <color rgb="FFFFFFFF"/>
        <rFont val="Arial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구간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</si>
  <si>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종목코드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티커</t>
    </r>
  </si>
  <si>
    <t xml:space="preserve">영웅문 코드</t>
  </si>
  <si>
    <t xml:space="preserve">상태</t>
  </si>
  <si>
    <t xml:space="preserve">메모</t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</si>
  <si>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시밀러 </t>
    </r>
    <r>
      <rPr>
        <sz val="11"/>
        <rFont val="Arial"/>
        <family val="0"/>
        <charset val="1"/>
      </rPr>
      <t xml:space="preserve">&amp; </t>
    </r>
    <r>
      <rPr>
        <sz val="11"/>
        <rFont val="Noto Sans CJK SC"/>
        <family val="2"/>
      </rPr>
      <t xml:space="preserve">대형제약</t>
    </r>
  </si>
  <si>
    <t xml:space="preserve">셀트리온</t>
  </si>
  <si>
    <t xml:space="preserve">068270</t>
  </si>
  <si>
    <t xml:space="preserve">유지</t>
  </si>
  <si>
    <t xml:space="preserve">셀트리온제약</t>
  </si>
  <si>
    <t xml:space="preserve">068760</t>
  </si>
  <si>
    <t xml:space="preserve">삼성에피스홀딩스</t>
  </si>
  <si>
    <t xml:space="preserve">0126Z0</t>
  </si>
  <si>
    <r>
      <rPr>
        <sz val="11"/>
        <rFont val="Arial"/>
        <family val="0"/>
        <charset val="1"/>
      </rPr>
      <t xml:space="preserve">LG</t>
    </r>
    <r>
      <rPr>
        <sz val="11"/>
        <rFont val="Noto Sans CJK SC"/>
        <family val="2"/>
      </rPr>
      <t xml:space="preserve">화학</t>
    </r>
  </si>
  <si>
    <t xml:space="preserve">051910</t>
  </si>
  <si>
    <r>
      <rPr>
        <sz val="11"/>
        <rFont val="Noto Sans CJK SC"/>
        <family val="2"/>
      </rPr>
      <t xml:space="preserve">화학 회사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제약 부문 때문에 포함</t>
    </r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</si>
  <si>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위탁생산</t>
    </r>
    <r>
      <rPr>
        <sz val="11"/>
        <rFont val="Arial"/>
        <family val="0"/>
        <charset val="1"/>
      </rPr>
      <t xml:space="preserve">(CDMO)</t>
    </r>
  </si>
  <si>
    <t xml:space="preserve">삼성바이오로직스</t>
  </si>
  <si>
    <t xml:space="preserve">207940</t>
  </si>
  <si>
    <t xml:space="preserve">바이넥스</t>
  </si>
  <si>
    <t xml:space="preserve">053030</t>
  </si>
  <si>
    <t xml:space="preserve">에이프로젠</t>
  </si>
  <si>
    <t xml:space="preserve">007460</t>
  </si>
  <si>
    <t xml:space="preserve">에스티팜</t>
  </si>
  <si>
    <t xml:space="preserve">237690</t>
  </si>
  <si>
    <t xml:space="preserve">프레스티지바이오파마</t>
  </si>
  <si>
    <t xml:space="preserve">950210</t>
  </si>
  <si>
    <r>
      <rPr>
        <sz val="11"/>
        <rFont val="Noto Sans CJK SC"/>
        <family val="2"/>
      </rPr>
      <t xml:space="preserve">신규 </t>
    </r>
    <r>
      <rPr>
        <sz val="11"/>
        <rFont val="Arial"/>
        <family val="0"/>
        <charset val="1"/>
      </rPr>
      <t xml:space="preserve">/ (</t>
    </r>
    <r>
      <rPr>
        <sz val="11"/>
        <rFont val="Noto Sans CJK SC"/>
        <family val="2"/>
      </rPr>
      <t xml:space="preserve">신규</t>
    </r>
    <r>
      <rPr>
        <sz val="11"/>
        <rFont val="Arial"/>
        <family val="0"/>
        <charset val="1"/>
      </rPr>
      <t xml:space="preserve">)</t>
    </r>
  </si>
  <si>
    <t xml:space="preserve">큐리옥스바이오시스템즈</t>
  </si>
  <si>
    <t xml:space="preserve">445680</t>
  </si>
  <si>
    <t xml:space="preserve">신규</t>
  </si>
  <si>
    <r>
      <rPr>
        <sz val="11"/>
        <rFont val="Noto Sans CJK SC"/>
        <family val="2"/>
      </rPr>
      <t xml:space="preserve">세포 처리 자동화 장비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써모피셔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다나허 짝</t>
    </r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</si>
  <si>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플랫폼 및 신약</t>
    </r>
  </si>
  <si>
    <t xml:space="preserve">HLB</t>
  </si>
  <si>
    <t xml:space="preserve">028300</t>
  </si>
  <si>
    <r>
      <rPr>
        <sz val="11"/>
        <rFont val="Arial"/>
        <family val="0"/>
        <charset val="1"/>
      </rPr>
      <t xml:space="preserve">HLB</t>
    </r>
    <r>
      <rPr>
        <sz val="11"/>
        <rFont val="Noto Sans CJK SC"/>
        <family val="2"/>
      </rPr>
      <t xml:space="preserve">제약</t>
    </r>
  </si>
  <si>
    <t xml:space="preserve">047920</t>
  </si>
  <si>
    <t xml:space="preserve">알테오젠</t>
  </si>
  <si>
    <t xml:space="preserve">196170</t>
  </si>
  <si>
    <r>
      <rPr>
        <sz val="11"/>
        <rFont val="Noto Sans CJK SC"/>
        <family val="2"/>
      </rPr>
      <t xml:space="preserve">머크 키트루다 피하주사 기술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머크와 연결</t>
    </r>
    <r>
      <rPr>
        <sz val="11"/>
        <rFont val="Arial"/>
        <family val="0"/>
        <charset val="1"/>
      </rPr>
      <t xml:space="preserve">)</t>
    </r>
  </si>
  <si>
    <t xml:space="preserve">보로노이</t>
  </si>
  <si>
    <t xml:space="preserve">310210</t>
  </si>
  <si>
    <t xml:space="preserve">한올바이오파마</t>
  </si>
  <si>
    <t xml:space="preserve">009420</t>
  </si>
  <si>
    <t xml:space="preserve">신라젠</t>
  </si>
  <si>
    <t xml:space="preserve">215600</t>
  </si>
  <si>
    <t xml:space="preserve">삼천당제약</t>
  </si>
  <si>
    <t xml:space="preserve">000250</t>
  </si>
  <si>
    <r>
      <rPr>
        <sz val="11"/>
        <rFont val="Noto Sans CJK SC"/>
        <family val="2"/>
      </rPr>
      <t xml:space="preserve">경구 인슐린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시밀러</t>
    </r>
  </si>
  <si>
    <r>
      <rPr>
        <sz val="11"/>
        <rFont val="Noto Sans CJK SC"/>
        <family val="2"/>
      </rPr>
      <t xml:space="preserve">인제니아테라퓨틱스</t>
    </r>
    <r>
      <rPr>
        <sz val="11"/>
        <rFont val="Arial"/>
        <family val="0"/>
        <charset val="1"/>
      </rPr>
      <t xml:space="preserve">(Reg.S)</t>
    </r>
  </si>
  <si>
    <t xml:space="preserve">950260</t>
  </si>
  <si>
    <t xml:space="preserve">바이오니아</t>
  </si>
  <si>
    <t xml:space="preserve">064550</t>
  </si>
  <si>
    <t xml:space="preserve">삼양바이오팜</t>
  </si>
  <si>
    <t xml:space="preserve">0120G0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</si>
  <si>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바이오팜</t>
    </r>
  </si>
  <si>
    <t xml:space="preserve">326030</t>
  </si>
  <si>
    <r>
      <rPr>
        <sz val="11"/>
        <rFont val="Arial"/>
        <family val="0"/>
        <charset val="1"/>
      </rPr>
      <t xml:space="preserve">SK</t>
    </r>
    <r>
      <rPr>
        <sz val="11"/>
        <rFont val="Noto Sans CJK SC"/>
        <family val="2"/>
      </rPr>
      <t xml:space="preserve">바이오사이언스</t>
    </r>
  </si>
  <si>
    <t xml:space="preserve">302440</t>
  </si>
  <si>
    <t xml:space="preserve">디앤디파마텍</t>
  </si>
  <si>
    <t xml:space="preserve">347850</t>
  </si>
  <si>
    <t xml:space="preserve">리가켐바이오</t>
  </si>
  <si>
    <t xml:space="preserve">141080</t>
  </si>
  <si>
    <r>
      <rPr>
        <sz val="11"/>
        <rFont val="Arial"/>
        <family val="0"/>
        <charset val="1"/>
      </rPr>
      <t xml:space="preserve">ADC </t>
    </r>
    <r>
      <rPr>
        <sz val="11"/>
        <rFont val="Noto Sans CJK SC"/>
        <family val="2"/>
      </rPr>
      <t xml:space="preserve">플랫폼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다이이치산쿄 짝</t>
    </r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</si>
  <si>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전통제약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내수</t>
    </r>
    <r>
      <rPr>
        <sz val="11"/>
        <rFont val="Arial"/>
        <family val="0"/>
        <charset val="1"/>
      </rPr>
      <t xml:space="preserve">)</t>
    </r>
  </si>
  <si>
    <t xml:space="preserve">유한양행</t>
  </si>
  <si>
    <t xml:space="preserve">000100</t>
  </si>
  <si>
    <t xml:space="preserve">한미약품</t>
  </si>
  <si>
    <t xml:space="preserve">128940</t>
  </si>
  <si>
    <t xml:space="preserve">한미사이언스</t>
  </si>
  <si>
    <t xml:space="preserve">008930</t>
  </si>
  <si>
    <t xml:space="preserve">대웅제약</t>
  </si>
  <si>
    <t xml:space="preserve">069620</t>
  </si>
  <si>
    <t xml:space="preserve">종근당</t>
  </si>
  <si>
    <t xml:space="preserve">185750</t>
  </si>
  <si>
    <t xml:space="preserve">녹십자</t>
  </si>
  <si>
    <t xml:space="preserve">006280</t>
  </si>
  <si>
    <t xml:space="preserve">보령</t>
  </si>
  <si>
    <t xml:space="preserve">003850</t>
  </si>
  <si>
    <t xml:space="preserve">명인제약</t>
  </si>
  <si>
    <t xml:space="preserve">317450</t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</si>
  <si>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비만치료제</t>
    </r>
  </si>
  <si>
    <t xml:space="preserve">펩트론</t>
  </si>
  <si>
    <t xml:space="preserve">087010</t>
  </si>
  <si>
    <t xml:space="preserve">인벤티지랩</t>
  </si>
  <si>
    <t xml:space="preserve">389470</t>
  </si>
  <si>
    <t xml:space="preserve">블루엠텍</t>
  </si>
  <si>
    <t xml:space="preserve">439580</t>
  </si>
  <si>
    <t xml:space="preserve">에스엘에스바이오</t>
  </si>
  <si>
    <t xml:space="preserve">246250</t>
  </si>
  <si>
    <t xml:space="preserve">올릭스</t>
  </si>
  <si>
    <t xml:space="preserve">226950</t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</si>
  <si>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기타 제약</t>
    </r>
  </si>
  <si>
    <t xml:space="preserve">신풍제약</t>
  </si>
  <si>
    <t xml:space="preserve">019170</t>
  </si>
  <si>
    <t xml:space="preserve">인트론바이오</t>
  </si>
  <si>
    <t xml:space="preserve">048530</t>
  </si>
  <si>
    <t xml:space="preserve">녹십자엠에스</t>
  </si>
  <si>
    <t xml:space="preserve">142280</t>
  </si>
  <si>
    <t xml:space="preserve">삼익제약</t>
  </si>
  <si>
    <t xml:space="preserve">014950</t>
  </si>
  <si>
    <r>
      <rPr>
        <sz val="11"/>
        <rFont val="Arial"/>
        <family val="0"/>
        <charset val="1"/>
      </rPr>
      <t xml:space="preserve">JW</t>
    </r>
    <r>
      <rPr>
        <sz val="11"/>
        <rFont val="Noto Sans CJK SC"/>
        <family val="2"/>
      </rPr>
      <t xml:space="preserve">신약</t>
    </r>
  </si>
  <si>
    <t xml:space="preserve">067290</t>
  </si>
  <si>
    <t xml:space="preserve">현대약품</t>
  </si>
  <si>
    <t xml:space="preserve">004310</t>
  </si>
  <si>
    <t xml:space="preserve">대화제약</t>
  </si>
  <si>
    <t xml:space="preserve">067080</t>
  </si>
  <si>
    <r>
      <rPr>
        <sz val="11"/>
        <rFont val="Noto Sans CJK SC"/>
        <family val="2"/>
      </rPr>
      <t xml:space="preserve">경구 항암제 리포락셀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개별 이벤트형</t>
    </r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</si>
  <si>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의료기기</t>
    </r>
  </si>
  <si>
    <t xml:space="preserve">쓰리빌리언</t>
  </si>
  <si>
    <t xml:space="preserve">394800</t>
  </si>
  <si>
    <t xml:space="preserve">유전자 진단</t>
  </si>
  <si>
    <t xml:space="preserve">뷰노</t>
  </si>
  <si>
    <t xml:space="preserve">338220</t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</si>
  <si>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진단</t>
    </r>
  </si>
  <si>
    <t xml:space="preserve">레메디</t>
  </si>
  <si>
    <t xml:space="preserve">387690</t>
  </si>
  <si>
    <t xml:space="preserve">루닛</t>
  </si>
  <si>
    <t xml:space="preserve">328130</t>
  </si>
  <si>
    <t xml:space="preserve">제이엘케이</t>
  </si>
  <si>
    <t xml:space="preserve">322510</t>
  </si>
  <si>
    <t xml:space="preserve">바텍</t>
  </si>
  <si>
    <t xml:space="preserve">043150</t>
  </si>
  <si>
    <t xml:space="preserve">제노레이</t>
  </si>
  <si>
    <t xml:space="preserve">122310</t>
  </si>
  <si>
    <t xml:space="preserve">엘앤씨바이오</t>
  </si>
  <si>
    <t xml:space="preserve">290650</t>
  </si>
  <si>
    <r>
      <rPr>
        <sz val="11"/>
        <rFont val="Noto Sans CJK SC"/>
        <family val="2"/>
      </rPr>
      <t xml:space="preserve">인체조직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스킨부스터 리투오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에스테틱</t>
    </r>
    <r>
      <rPr>
        <sz val="11"/>
        <rFont val="Arial"/>
        <family val="0"/>
        <charset val="1"/>
      </rPr>
      <t xml:space="preserve">)</t>
    </r>
  </si>
  <si>
    <t xml:space="preserve">파마리서치</t>
  </si>
  <si>
    <t xml:space="preserve">214450</t>
  </si>
  <si>
    <r>
      <rPr>
        <sz val="11"/>
        <rFont val="Noto Sans CJK SC"/>
        <family val="2"/>
      </rPr>
      <t xml:space="preserve">리쥬란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에스테틱</t>
    </r>
    <r>
      <rPr>
        <sz val="11"/>
        <rFont val="Arial"/>
        <family val="0"/>
        <charset val="1"/>
      </rPr>
      <t xml:space="preserve">), </t>
    </r>
    <r>
      <rPr>
        <sz val="11"/>
        <rFont val="Noto Sans CJK SC"/>
        <family val="2"/>
      </rPr>
      <t xml:space="preserve">클래시스와 같이 움직임</t>
    </r>
  </si>
  <si>
    <r>
      <rPr>
        <sz val="11"/>
        <rFont val="Noto Sans CJK SC"/>
        <family val="2"/>
      </rPr>
      <t xml:space="preserve">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덴탈</t>
    </r>
  </si>
  <si>
    <t xml:space="preserve">그래피</t>
  </si>
  <si>
    <t xml:space="preserve">318060</t>
  </si>
  <si>
    <t xml:space="preserve">덴티움</t>
  </si>
  <si>
    <t xml:space="preserve">145720</t>
  </si>
  <si>
    <t xml:space="preserve">003230</t>
  </si>
  <si>
    <t xml:space="preserve">탭 밖 이동</t>
  </si>
  <si>
    <r>
      <rPr>
        <sz val="11"/>
        <rFont val="Arial"/>
        <family val="0"/>
        <charset val="1"/>
      </rPr>
      <t xml:space="preserve">12 </t>
    </r>
    <r>
      <rPr>
        <sz val="11"/>
        <rFont val="Noto Sans CJK SC"/>
        <family val="2"/>
      </rPr>
      <t xml:space="preserve">소비재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식품 음료로 이동 완료</t>
    </r>
  </si>
  <si>
    <t xml:space="preserve">271560</t>
  </si>
  <si>
    <t xml:space="preserve">005180</t>
  </si>
  <si>
    <t xml:space="preserve">007310</t>
  </si>
  <si>
    <t xml:space="preserve">101530</t>
  </si>
  <si>
    <r>
      <rPr>
        <sz val="11"/>
        <rFont val="Noto Sans CJK SC"/>
        <family val="2"/>
      </rPr>
      <t xml:space="preserve">미국 헬스케어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신약 플랫폼</t>
    </r>
  </si>
  <si>
    <t xml:space="preserve">화이자</t>
  </si>
  <si>
    <t xml:space="preserve">PFE</t>
  </si>
  <si>
    <t xml:space="preserve">NYPFE</t>
  </si>
  <si>
    <t xml:space="preserve">애브비</t>
  </si>
  <si>
    <t xml:space="preserve">ABBV</t>
  </si>
  <si>
    <t xml:space="preserve">NYABBV</t>
  </si>
  <si>
    <t xml:space="preserve">머크</t>
  </si>
  <si>
    <t xml:space="preserve">MRK</t>
  </si>
  <si>
    <t xml:space="preserve">NYMRK</t>
  </si>
  <si>
    <t xml:space="preserve">알테오젠 기술 사용</t>
  </si>
  <si>
    <t xml:space="preserve">존슨 앤드 존슨</t>
  </si>
  <si>
    <t xml:space="preserve">JNJ</t>
  </si>
  <si>
    <t xml:space="preserve">NYJNJ</t>
  </si>
  <si>
    <r>
      <rPr>
        <sz val="11"/>
        <rFont val="Noto Sans CJK SC"/>
        <family val="2"/>
      </rPr>
      <t xml:space="preserve">월가 포트폴리오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드러켄밀러</t>
    </r>
  </si>
  <si>
    <r>
      <rPr>
        <sz val="11"/>
        <rFont val="Noto Sans CJK SC"/>
        <family val="2"/>
      </rPr>
      <t xml:space="preserve">테바 파머슈티컬 인더스트리스</t>
    </r>
    <r>
      <rPr>
        <sz val="11"/>
        <rFont val="Arial"/>
        <family val="0"/>
        <charset val="1"/>
      </rPr>
      <t xml:space="preserve">(ADR)</t>
    </r>
  </si>
  <si>
    <t xml:space="preserve">TEVA</t>
  </si>
  <si>
    <t xml:space="preserve">NYTEVA</t>
  </si>
  <si>
    <t xml:space="preserve">추가</t>
  </si>
  <si>
    <r>
      <rPr>
        <sz val="11"/>
        <rFont val="Noto Sans CJK SC"/>
        <family val="2"/>
      </rPr>
      <t xml:space="preserve">제네릭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시밀러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월가 탭과 중복</t>
    </r>
  </si>
  <si>
    <r>
      <rPr>
        <sz val="11"/>
        <rFont val="Noto Sans CJK SC"/>
        <family val="2"/>
      </rPr>
      <t xml:space="preserve">미국 배당주 </t>
    </r>
    <r>
      <rPr>
        <sz val="11"/>
        <rFont val="Arial"/>
        <family val="0"/>
        <charset val="1"/>
      </rPr>
      <t xml:space="preserve">/ 2,5,8,11</t>
    </r>
  </si>
  <si>
    <t xml:space="preserve">암젠</t>
  </si>
  <si>
    <t xml:space="preserve">AMGN</t>
  </si>
  <si>
    <t xml:space="preserve">NDAMGN</t>
  </si>
  <si>
    <t xml:space="preserve">배당주 탭과 중복</t>
  </si>
  <si>
    <r>
      <rPr>
        <sz val="11"/>
        <rFont val="Noto Sans CJK SC"/>
        <family val="2"/>
      </rPr>
      <t xml:space="preserve">월가 포트폴리오 </t>
    </r>
    <r>
      <rPr>
        <sz val="11"/>
        <rFont val="Arial"/>
        <family val="0"/>
        <charset val="1"/>
      </rPr>
      <t xml:space="preserve">/ </t>
    </r>
    <r>
      <rPr>
        <sz val="11"/>
        <rFont val="Noto Sans CJK SC"/>
        <family val="2"/>
      </rPr>
      <t xml:space="preserve">캐시우드</t>
    </r>
  </si>
  <si>
    <r>
      <rPr>
        <sz val="11"/>
        <rFont val="Arial"/>
        <family val="0"/>
        <charset val="1"/>
      </rPr>
      <t xml:space="preserve">10X </t>
    </r>
    <r>
      <rPr>
        <sz val="11"/>
        <rFont val="Noto Sans CJK SC"/>
        <family val="2"/>
      </rPr>
      <t xml:space="preserve">지노믹스</t>
    </r>
  </si>
  <si>
    <t xml:space="preserve">TXG</t>
  </si>
  <si>
    <t xml:space="preserve">NDTXG</t>
  </si>
  <si>
    <r>
      <rPr>
        <sz val="11"/>
        <rFont val="Noto Sans CJK SC"/>
        <family val="2"/>
      </rPr>
      <t xml:space="preserve">유전체 분석 장비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월가 탭과 중복</t>
    </r>
  </si>
  <si>
    <t xml:space="preserve">써모 피셔 사이언티픽</t>
  </si>
  <si>
    <t xml:space="preserve">TMO</t>
  </si>
  <si>
    <t xml:space="preserve">NYTMO</t>
  </si>
  <si>
    <r>
      <rPr>
        <sz val="11"/>
        <rFont val="Noto Sans CJK SC"/>
        <family val="2"/>
      </rPr>
      <t xml:space="preserve">바이오 장비</t>
    </r>
    <r>
      <rPr>
        <sz val="11"/>
        <rFont val="Arial"/>
        <family val="0"/>
        <charset val="1"/>
      </rPr>
      <t xml:space="preserve">·CDMO</t>
    </r>
  </si>
  <si>
    <t xml:space="preserve">다나허</t>
  </si>
  <si>
    <t xml:space="preserve">DHR</t>
  </si>
  <si>
    <t xml:space="preserve">NYDHR</t>
  </si>
  <si>
    <t xml:space="preserve">바이오 생산 장비</t>
  </si>
  <si>
    <t xml:space="preserve">RLMD</t>
  </si>
  <si>
    <t xml:space="preserve">NDRLMD</t>
  </si>
  <si>
    <r>
      <rPr>
        <sz val="11"/>
        <rFont val="Arial"/>
        <family val="0"/>
        <charset val="1"/>
      </rPr>
      <t xml:space="preserve">new </t>
    </r>
    <r>
      <rPr>
        <sz val="11"/>
        <rFont val="Noto Sans CJK SC"/>
        <family val="2"/>
      </rPr>
      <t xml:space="preserve">탭에서 이동</t>
    </r>
  </si>
  <si>
    <t xml:space="preserve">XENE</t>
  </si>
  <si>
    <t xml:space="preserve">NDXENE</t>
  </si>
  <si>
    <t xml:space="preserve">인스메드</t>
  </si>
  <si>
    <t xml:space="preserve">INSM</t>
  </si>
  <si>
    <t xml:space="preserve">NDINSM</t>
  </si>
  <si>
    <t xml:space="preserve">월가 탭과 중복</t>
  </si>
  <si>
    <t xml:space="preserve">빔 테라퓨틱스</t>
  </si>
  <si>
    <t xml:space="preserve">BEAM</t>
  </si>
  <si>
    <t xml:space="preserve">NDBEAM</t>
  </si>
  <si>
    <r>
      <rPr>
        <sz val="11"/>
        <rFont val="Noto Sans CJK SC"/>
        <family val="2"/>
      </rPr>
      <t xml:space="preserve">유전자 편집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월가 탭과 중복</t>
    </r>
  </si>
  <si>
    <r>
      <rPr>
        <sz val="11"/>
        <rFont val="Noto Sans CJK SC"/>
        <family val="2"/>
      </rPr>
      <t xml:space="preserve">미국 배당주 </t>
    </r>
    <r>
      <rPr>
        <sz val="11"/>
        <rFont val="Arial"/>
        <family val="0"/>
        <charset val="1"/>
      </rPr>
      <t xml:space="preserve">/ 3,6,9,12</t>
    </r>
  </si>
  <si>
    <t xml:space="preserve">유나이티드 테라퓨틱스</t>
  </si>
  <si>
    <t xml:space="preserve">UTHR</t>
  </si>
  <si>
    <t xml:space="preserve">NDUTHR</t>
  </si>
  <si>
    <t xml:space="preserve">버텍스 파머슈티컬</t>
  </si>
  <si>
    <t xml:space="preserve">VRTX</t>
  </si>
  <si>
    <t xml:space="preserve">NDVRTX</t>
  </si>
  <si>
    <t xml:space="preserve">일라이 릴리</t>
  </si>
  <si>
    <t xml:space="preserve">LLY</t>
  </si>
  <si>
    <t xml:space="preserve">NYLLY</t>
  </si>
  <si>
    <t xml:space="preserve">구간 이동</t>
  </si>
  <si>
    <r>
      <rPr>
        <sz val="11"/>
        <rFont val="Noto Sans CJK SC"/>
        <family val="2"/>
      </rPr>
      <t xml:space="preserve">비만치료제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펩트론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디앤디파마텍 짝</t>
    </r>
    <r>
      <rPr>
        <sz val="11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</si>
  <si>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노보노디스크</t>
    </r>
    <r>
      <rPr>
        <sz val="11"/>
        <rFont val="Arial"/>
        <family val="0"/>
        <charset val="1"/>
      </rPr>
      <t xml:space="preserve">(ADR)</t>
    </r>
  </si>
  <si>
    <t xml:space="preserve">NVO</t>
  </si>
  <si>
    <t xml:space="preserve">NYNVO</t>
  </si>
  <si>
    <t xml:space="preserve">위고비</t>
  </si>
  <si>
    <t xml:space="preserve">나테라</t>
  </si>
  <si>
    <t xml:space="preserve">NTRA</t>
  </si>
  <si>
    <t xml:space="preserve">NDNTRA</t>
  </si>
  <si>
    <r>
      <rPr>
        <sz val="11"/>
        <rFont val="Noto Sans CJK SC"/>
        <family val="2"/>
      </rPr>
      <t xml:space="preserve">유전자 진단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월가 탭과 중복</t>
    </r>
  </si>
  <si>
    <t xml:space="preserve">애보트 래브러토리스</t>
  </si>
  <si>
    <t xml:space="preserve">ABT</t>
  </si>
  <si>
    <t xml:space="preserve">NYABT</t>
  </si>
  <si>
    <t xml:space="preserve">메드트로닉</t>
  </si>
  <si>
    <t xml:space="preserve">MDT</t>
  </si>
  <si>
    <t xml:space="preserve">NYMDT</t>
  </si>
  <si>
    <t xml:space="preserve">인튜이티브 서지컬</t>
  </si>
  <si>
    <t xml:space="preserve">ISRG</t>
  </si>
  <si>
    <t xml:space="preserve">NDISRG</t>
  </si>
  <si>
    <t xml:space="preserve">수술 로봇</t>
  </si>
  <si>
    <t xml:space="preserve">ALGN</t>
  </si>
  <si>
    <t xml:space="preserve">NDALGN</t>
  </si>
  <si>
    <r>
      <rPr>
        <sz val="11"/>
        <rFont val="Noto Sans CJK SC"/>
        <family val="2"/>
      </rPr>
      <t xml:space="preserve">투명 교정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덴티움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그래피 짝</t>
    </r>
  </si>
  <si>
    <t xml:space="preserve">UNH</t>
  </si>
  <si>
    <t xml:space="preserve">NYUNH</t>
  </si>
  <si>
    <r>
      <rPr>
        <sz val="11"/>
        <rFont val="Noto Sans CJK SC"/>
        <family val="2"/>
      </rPr>
      <t xml:space="preserve">건강보험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의료서비스</t>
    </r>
  </si>
  <si>
    <t xml:space="preserve">NOW</t>
  </si>
  <si>
    <t xml:space="preserve">NYNOW</t>
  </si>
  <si>
    <r>
      <rPr>
        <sz val="11"/>
        <rFont val="Arial"/>
        <family val="0"/>
        <charset val="1"/>
      </rPr>
      <t xml:space="preserve">SaaS → 09 SW </t>
    </r>
    <r>
      <rPr>
        <sz val="11"/>
        <rFont val="Noto Sans CJK SC"/>
        <family val="2"/>
      </rPr>
      <t xml:space="preserve">탭</t>
    </r>
  </si>
  <si>
    <t xml:space="preserve">WDAY</t>
  </si>
  <si>
    <t xml:space="preserve">NDWDAY</t>
  </si>
  <si>
    <t xml:space="preserve">CRM</t>
  </si>
  <si>
    <t xml:space="preserve">NYCRM</t>
  </si>
  <si>
    <t xml:space="preserve">다케다약품공업</t>
  </si>
  <si>
    <t xml:space="preserve">04502</t>
  </si>
  <si>
    <t xml:space="preserve">W04502</t>
  </si>
  <si>
    <t xml:space="preserve">아스텔라스제약</t>
  </si>
  <si>
    <t xml:space="preserve">04503</t>
  </si>
  <si>
    <t xml:space="preserve">W04503</t>
  </si>
  <si>
    <t xml:space="preserve">04901</t>
  </si>
  <si>
    <t xml:space="preserve">W04901</t>
  </si>
  <si>
    <r>
      <rPr>
        <sz val="11"/>
        <rFont val="Noto Sans CJK SC"/>
        <family val="2"/>
      </rPr>
      <t xml:space="preserve">후지필름 다이오신스 </t>
    </r>
    <r>
      <rPr>
        <sz val="11"/>
        <rFont val="Arial"/>
        <family val="0"/>
        <charset val="1"/>
      </rPr>
      <t xml:space="preserve">CDMO, </t>
    </r>
    <r>
      <rPr>
        <sz val="11"/>
        <rFont val="Noto Sans CJK SC"/>
        <family val="2"/>
      </rPr>
      <t xml:space="preserve">삼성바이오로직스 짝</t>
    </r>
  </si>
  <si>
    <t xml:space="preserve">다이이치산쿄</t>
  </si>
  <si>
    <t xml:space="preserve">04568</t>
  </si>
  <si>
    <t xml:space="preserve">W04568</t>
  </si>
  <si>
    <r>
      <rPr>
        <sz val="11"/>
        <rFont val="Arial"/>
        <family val="0"/>
        <charset val="1"/>
      </rPr>
      <t xml:space="preserve">ADC, </t>
    </r>
    <r>
      <rPr>
        <sz val="11"/>
        <rFont val="Noto Sans CJK SC"/>
        <family val="2"/>
      </rPr>
      <t xml:space="preserve">리가켐바이오 짝</t>
    </r>
  </si>
  <si>
    <t xml:space="preserve">주가이제약</t>
  </si>
  <si>
    <t xml:space="preserve">04519</t>
  </si>
  <si>
    <t xml:space="preserve">W04519</t>
  </si>
  <si>
    <r>
      <rPr>
        <sz val="11"/>
        <rFont val="Noto Sans CJK SC"/>
        <family val="2"/>
      </rPr>
      <t xml:space="preserve">로슈 자회사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경구 비만약 개발</t>
    </r>
  </si>
  <si>
    <t xml:space="preserve">올림푸스</t>
  </si>
  <si>
    <t xml:space="preserve">07733</t>
  </si>
  <si>
    <t xml:space="preserve">W07733</t>
  </si>
  <si>
    <t xml:space="preserve">내시경</t>
  </si>
  <si>
    <t xml:space="preserve">테루모</t>
  </si>
  <si>
    <t xml:space="preserve">04543</t>
  </si>
  <si>
    <t xml:space="preserve">W04543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</si>
</sst>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color rgb="FF666666"/>
      <name val="Noto Sans CJK SC"/>
      <family val="2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A5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  <dxf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0D7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5" min="3" style="0" width="7"/>
    <col collapsed="false" customWidth="true" hidden="false" outlineLevel="0" max="6" min="6" style="0" width="56"/>
    <col collapsed="false" customWidth="true" hidden="false" outlineLevel="0" max="7" min="7" style="0" width="46"/>
    <col collapsed="false" customWidth="true" hidden="false" outlineLevel="0" max="8" min="8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32.8" hidden="false" customHeight="false" outlineLevel="0" collapsed="false">
      <c r="A5" s="4" t="n">
        <v>1</v>
      </c>
      <c r="B5" s="5" t="s">
        <v>10</v>
      </c>
      <c r="C5" s="4" t="n">
        <f aca="false">COUNTIFS('종목 목록'!$A$2:$A$94,"국장",'종목 목록'!$C$2:$C$94,$B5,'종목 목록'!$H$2:$H$94,"&lt;&gt;탭 밖 이동")</f>
        <v>4</v>
      </c>
      <c r="D5" s="4" t="n">
        <f aca="false">COUNTIFS('종목 목록'!$A$2:$A$94,"미장",'종목 목록'!$C$2:$C$94,$B5,'종목 목록'!$H$2:$H$94,"&lt;&gt;탭 밖 이동")</f>
        <v>6</v>
      </c>
      <c r="E5" s="4" t="n">
        <f aca="false">COUNTIFS('종목 목록'!$A$2:$A$94,"일장",'종목 목록'!$C$2:$C$94,$B5,'종목 목록'!$H$2:$H$94,"&lt;&gt;탭 밖 이동")</f>
        <v>2</v>
      </c>
      <c r="F5" s="6" t="s">
        <v>11</v>
      </c>
      <c r="G5" s="6" t="s">
        <v>12</v>
      </c>
      <c r="H5" s="6" t="s">
        <v>13</v>
      </c>
    </row>
    <row r="6" customFormat="false" ht="32.8" hidden="false" customHeight="false" outlineLevel="0" collapsed="false">
      <c r="A6" s="4" t="n">
        <v>2</v>
      </c>
      <c r="B6" s="7" t="s">
        <v>14</v>
      </c>
      <c r="C6" s="4" t="n">
        <f aca="false">COUNTIFS('종목 목록'!$A$2:$A$94,"국장",'종목 목록'!$C$2:$C$94,$B6,'종목 목록'!$H$2:$H$94,"&lt;&gt;탭 밖 이동")</f>
        <v>6</v>
      </c>
      <c r="D6" s="4" t="n">
        <f aca="false">COUNTIFS('종목 목록'!$A$2:$A$94,"미장",'종목 목록'!$C$2:$C$94,$B6,'종목 목록'!$H$2:$H$94,"&lt;&gt;탭 밖 이동")</f>
        <v>3</v>
      </c>
      <c r="E6" s="4" t="n">
        <f aca="false">COUNTIFS('종목 목록'!$A$2:$A$94,"일장",'종목 목록'!$C$2:$C$94,$B6,'종목 목록'!$H$2:$H$94,"&lt;&gt;탭 밖 이동")</f>
        <v>1</v>
      </c>
      <c r="F6" s="6" t="s">
        <v>15</v>
      </c>
      <c r="G6" s="8" t="s">
        <v>16</v>
      </c>
      <c r="H6" s="6" t="s">
        <v>17</v>
      </c>
    </row>
    <row r="7" customFormat="false" ht="64.15" hidden="false" customHeight="false" outlineLevel="0" collapsed="false">
      <c r="A7" s="4" t="n">
        <v>3</v>
      </c>
      <c r="B7" s="5" t="s">
        <v>18</v>
      </c>
      <c r="C7" s="4" t="n">
        <f aca="false">COUNTIFS('종목 목록'!$A$2:$A$94,"국장",'종목 목록'!$C$2:$C$94,$B7,'종목 목록'!$H$2:$H$94,"&lt;&gt;탭 밖 이동")</f>
        <v>14</v>
      </c>
      <c r="D7" s="4" t="n">
        <f aca="false">COUNTIFS('종목 목록'!$A$2:$A$94,"미장",'종목 목록'!$C$2:$C$94,$B7,'종목 목록'!$H$2:$H$94,"&lt;&gt;탭 밖 이동")</f>
        <v>6</v>
      </c>
      <c r="E7" s="4" t="n">
        <f aca="false">COUNTIFS('종목 목록'!$A$2:$A$94,"일장",'종목 목록'!$C$2:$C$94,$B7,'종목 목록'!$H$2:$H$94,"&lt;&gt;탭 밖 이동")</f>
        <v>2</v>
      </c>
      <c r="F7" s="8" t="s">
        <v>19</v>
      </c>
      <c r="G7" s="6" t="s">
        <v>20</v>
      </c>
      <c r="H7" s="6" t="s">
        <v>21</v>
      </c>
    </row>
    <row r="8" customFormat="false" ht="32.8" hidden="false" customHeight="false" outlineLevel="0" collapsed="false">
      <c r="A8" s="4" t="n">
        <v>4</v>
      </c>
      <c r="B8" s="5" t="s">
        <v>22</v>
      </c>
      <c r="C8" s="4" t="n">
        <f aca="false">COUNTIFS('종목 목록'!$A$2:$A$94,"국장",'종목 목록'!$C$2:$C$94,$B8,'종목 목록'!$H$2:$H$94,"&lt;&gt;탭 밖 이동")</f>
        <v>8</v>
      </c>
      <c r="D8" s="4" t="n">
        <f aca="false">COUNTIFS('종목 목록'!$A$2:$A$94,"미장",'종목 목록'!$C$2:$C$94,$B8,'종목 목록'!$H$2:$H$94,"&lt;&gt;탭 밖 이동")</f>
        <v>0</v>
      </c>
      <c r="E8" s="4" t="n">
        <f aca="false">COUNTIFS('종목 목록'!$A$2:$A$94,"일장",'종목 목록'!$C$2:$C$94,$B8,'종목 목록'!$H$2:$H$94,"&lt;&gt;탭 밖 이동")</f>
        <v>0</v>
      </c>
      <c r="F8" s="6" t="s">
        <v>23</v>
      </c>
      <c r="G8" s="8" t="s">
        <v>24</v>
      </c>
      <c r="H8" s="8" t="s">
        <v>24</v>
      </c>
    </row>
    <row r="9" customFormat="false" ht="17.15" hidden="false" customHeight="false" outlineLevel="0" collapsed="false">
      <c r="A9" s="4" t="n">
        <v>5</v>
      </c>
      <c r="B9" s="5" t="s">
        <v>25</v>
      </c>
      <c r="C9" s="4" t="n">
        <f aca="false">COUNTIFS('종목 목록'!$A$2:$A$94,"국장",'종목 목록'!$C$2:$C$94,$B9,'종목 목록'!$H$2:$H$94,"&lt;&gt;탭 밖 이동")</f>
        <v>5</v>
      </c>
      <c r="D9" s="4" t="n">
        <f aca="false">COUNTIFS('종목 목록'!$A$2:$A$94,"미장",'종목 목록'!$C$2:$C$94,$B9,'종목 목록'!$H$2:$H$94,"&lt;&gt;탭 밖 이동")</f>
        <v>2</v>
      </c>
      <c r="E9" s="4" t="n">
        <f aca="false">COUNTIFS('종목 목록'!$A$2:$A$94,"일장",'종목 목록'!$C$2:$C$94,$B9,'종목 목록'!$H$2:$H$94,"&lt;&gt;탭 밖 이동")</f>
        <v>0</v>
      </c>
      <c r="F9" s="6" t="s">
        <v>26</v>
      </c>
      <c r="G9" s="6" t="s">
        <v>27</v>
      </c>
      <c r="H9" s="8" t="s">
        <v>24</v>
      </c>
    </row>
    <row r="10" customFormat="false" ht="32.8" hidden="false" customHeight="false" outlineLevel="0" collapsed="false">
      <c r="A10" s="4" t="n">
        <v>6</v>
      </c>
      <c r="B10" s="5" t="s">
        <v>28</v>
      </c>
      <c r="C10" s="4" t="n">
        <f aca="false">COUNTIFS('종목 목록'!$A$2:$A$94,"국장",'종목 목록'!$C$2:$C$94,$B10,'종목 목록'!$H$2:$H$94,"&lt;&gt;탭 밖 이동")</f>
        <v>7</v>
      </c>
      <c r="D10" s="4" t="n">
        <f aca="false">COUNTIFS('종목 목록'!$A$2:$A$94,"미장",'종목 목록'!$C$2:$C$94,$B10,'종목 목록'!$H$2:$H$94,"&lt;&gt;탭 밖 이동")</f>
        <v>0</v>
      </c>
      <c r="E10" s="4" t="n">
        <f aca="false">COUNTIFS('종목 목록'!$A$2:$A$94,"일장",'종목 목록'!$C$2:$C$94,$B10,'종목 목록'!$H$2:$H$94,"&lt;&gt;탭 밖 이동")</f>
        <v>0</v>
      </c>
      <c r="F10" s="6" t="s">
        <v>29</v>
      </c>
      <c r="G10" s="8" t="s">
        <v>24</v>
      </c>
      <c r="H10" s="8" t="s">
        <v>24</v>
      </c>
    </row>
    <row r="11" customFormat="false" ht="32.8" hidden="false" customHeight="false" outlineLevel="0" collapsed="false">
      <c r="A11" s="4" t="n">
        <v>7</v>
      </c>
      <c r="B11" s="5" t="s">
        <v>30</v>
      </c>
      <c r="C11" s="4" t="n">
        <f aca="false">COUNTIFS('종목 목록'!$A$2:$A$94,"국장",'종목 목록'!$C$2:$C$94,$B11,'종목 목록'!$H$2:$H$94,"&lt;&gt;탭 밖 이동")</f>
        <v>9</v>
      </c>
      <c r="D11" s="4" t="n">
        <f aca="false">COUNTIFS('종목 목록'!$A$2:$A$94,"미장",'종목 목록'!$C$2:$C$94,$B11,'종목 목록'!$H$2:$H$94,"&lt;&gt;탭 밖 이동")</f>
        <v>4</v>
      </c>
      <c r="E11" s="4" t="n">
        <f aca="false">COUNTIFS('종목 목록'!$A$2:$A$94,"일장",'종목 목록'!$C$2:$C$94,$B11,'종목 목록'!$H$2:$H$94,"&lt;&gt;탭 밖 이동")</f>
        <v>2</v>
      </c>
      <c r="F11" s="6" t="s">
        <v>31</v>
      </c>
      <c r="G11" s="6" t="s">
        <v>32</v>
      </c>
      <c r="H11" s="6" t="s">
        <v>33</v>
      </c>
    </row>
    <row r="12" customFormat="false" ht="17.15" hidden="false" customHeight="false" outlineLevel="0" collapsed="false">
      <c r="A12" s="4" t="n">
        <v>8</v>
      </c>
      <c r="B12" s="5" t="s">
        <v>34</v>
      </c>
      <c r="C12" s="4" t="n">
        <f aca="false">COUNTIFS('종목 목록'!$A$2:$A$94,"국장",'종목 목록'!$C$2:$C$94,$B12,'종목 목록'!$H$2:$H$94,"&lt;&gt;탭 밖 이동")</f>
        <v>2</v>
      </c>
      <c r="D12" s="4" t="n">
        <f aca="false">COUNTIFS('종목 목록'!$A$2:$A$94,"미장",'종목 목록'!$C$2:$C$94,$B12,'종목 목록'!$H$2:$H$94,"&lt;&gt;탭 밖 이동")</f>
        <v>1</v>
      </c>
      <c r="E12" s="4" t="n">
        <f aca="false">COUNTIFS('종목 목록'!$A$2:$A$94,"일장",'종목 목록'!$C$2:$C$94,$B12,'종목 목록'!$H$2:$H$94,"&lt;&gt;탭 밖 이동")</f>
        <v>0</v>
      </c>
      <c r="F12" s="6" t="s">
        <v>35</v>
      </c>
      <c r="G12" s="6" t="s">
        <v>36</v>
      </c>
      <c r="H12" s="8" t="s">
        <v>24</v>
      </c>
    </row>
    <row r="13" customFormat="false" ht="17.15" hidden="false" customHeight="false" outlineLevel="0" collapsed="false">
      <c r="A13" s="4" t="n">
        <v>9</v>
      </c>
      <c r="B13" s="5" t="s">
        <v>37</v>
      </c>
      <c r="C13" s="4" t="n">
        <f aca="false">COUNTIFS('종목 목록'!$A$2:$A$94,"국장",'종목 목록'!$C$2:$C$94,$B13,'종목 목록'!$H$2:$H$94,"&lt;&gt;탭 밖 이동")</f>
        <v>0</v>
      </c>
      <c r="D13" s="4" t="n">
        <f aca="false">COUNTIFS('종목 목록'!$A$2:$A$94,"미장",'종목 목록'!$C$2:$C$94,$B13,'종목 목록'!$H$2:$H$94,"&lt;&gt;탭 밖 이동")</f>
        <v>1</v>
      </c>
      <c r="E13" s="4" t="n">
        <f aca="false">COUNTIFS('종목 목록'!$A$2:$A$94,"일장",'종목 목록'!$C$2:$C$94,$B13,'종목 목록'!$H$2:$H$94,"&lt;&gt;탭 밖 이동")</f>
        <v>0</v>
      </c>
      <c r="F13" s="8" t="s">
        <v>24</v>
      </c>
      <c r="G13" s="6" t="s">
        <v>38</v>
      </c>
      <c r="H13" s="8" t="s">
        <v>24</v>
      </c>
    </row>
    <row r="14" customFormat="false" ht="15" hidden="false" customHeight="false" outlineLevel="0" collapsed="false">
      <c r="B14" s="9" t="s">
        <v>39</v>
      </c>
      <c r="C14" s="10" t="n">
        <f aca="false">SUM(C5:C13)</f>
        <v>55</v>
      </c>
      <c r="D14" s="10" t="n">
        <f aca="false">SUM(D5:D13)</f>
        <v>23</v>
      </c>
      <c r="E14" s="10" t="n">
        <f aca="false">SUM(E5:E13)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1" t="s">
        <v>40</v>
      </c>
    </row>
    <row r="3" customFormat="false" ht="15" hidden="false" customHeight="false" outlineLevel="0" collapsed="false">
      <c r="A3" s="12" t="s">
        <v>41</v>
      </c>
      <c r="B3" s="12" t="s">
        <v>42</v>
      </c>
      <c r="C3" s="12" t="s">
        <v>43</v>
      </c>
      <c r="D3" s="12" t="s">
        <v>44</v>
      </c>
    </row>
    <row r="4" customFormat="false" ht="17.15" hidden="false" customHeight="false" outlineLevel="0" collapsed="false">
      <c r="A4" s="13" t="s">
        <v>4</v>
      </c>
      <c r="B4" s="13" t="s">
        <v>45</v>
      </c>
      <c r="C4" s="13" t="s">
        <v>46</v>
      </c>
      <c r="D4" s="14" t="s">
        <v>47</v>
      </c>
    </row>
    <row r="5" customFormat="false" ht="17.15" hidden="false" customHeight="false" outlineLevel="0" collapsed="false">
      <c r="A5" s="13" t="s">
        <v>4</v>
      </c>
      <c r="B5" s="13" t="s">
        <v>45</v>
      </c>
      <c r="C5" s="13" t="s">
        <v>48</v>
      </c>
      <c r="D5" s="14" t="s">
        <v>47</v>
      </c>
    </row>
    <row r="6" customFormat="false" ht="17.15" hidden="false" customHeight="false" outlineLevel="0" collapsed="false">
      <c r="A6" s="13" t="s">
        <v>4</v>
      </c>
      <c r="B6" s="13" t="s">
        <v>45</v>
      </c>
      <c r="C6" s="13" t="s">
        <v>49</v>
      </c>
      <c r="D6" s="14" t="s">
        <v>47</v>
      </c>
    </row>
    <row r="7" customFormat="false" ht="17.15" hidden="false" customHeight="false" outlineLevel="0" collapsed="false">
      <c r="A7" s="13" t="s">
        <v>4</v>
      </c>
      <c r="B7" s="13" t="s">
        <v>45</v>
      </c>
      <c r="C7" s="13" t="s">
        <v>50</v>
      </c>
      <c r="D7" s="14" t="s">
        <v>47</v>
      </c>
    </row>
    <row r="8" customFormat="false" ht="17.15" hidden="false" customHeight="false" outlineLevel="0" collapsed="false">
      <c r="A8" s="13" t="s">
        <v>4</v>
      </c>
      <c r="B8" s="13" t="s">
        <v>45</v>
      </c>
      <c r="C8" s="13" t="s">
        <v>51</v>
      </c>
      <c r="D8" s="14" t="s">
        <v>47</v>
      </c>
    </row>
    <row r="9" customFormat="false" ht="17.15" hidden="false" customHeight="false" outlineLevel="0" collapsed="false">
      <c r="A9" s="13" t="s">
        <v>5</v>
      </c>
      <c r="B9" s="13" t="s">
        <v>52</v>
      </c>
      <c r="C9" s="13" t="s">
        <v>53</v>
      </c>
      <c r="D9" s="14" t="s">
        <v>54</v>
      </c>
    </row>
    <row r="10" customFormat="false" ht="17.15" hidden="false" customHeight="false" outlineLevel="0" collapsed="false">
      <c r="A10" s="13" t="s">
        <v>5</v>
      </c>
      <c r="B10" s="13" t="s">
        <v>52</v>
      </c>
      <c r="C10" s="13" t="s">
        <v>55</v>
      </c>
      <c r="D10" s="14" t="s">
        <v>54</v>
      </c>
    </row>
    <row r="11" customFormat="false" ht="17.15" hidden="false" customHeight="false" outlineLevel="0" collapsed="false">
      <c r="A11" s="13" t="s">
        <v>5</v>
      </c>
      <c r="B11" s="13" t="s">
        <v>56</v>
      </c>
      <c r="C11" s="13" t="s">
        <v>57</v>
      </c>
      <c r="D11" s="14" t="s">
        <v>58</v>
      </c>
    </row>
    <row r="12" customFormat="false" ht="17.15" hidden="false" customHeight="false" outlineLevel="0" collapsed="false">
      <c r="A12" s="13" t="s">
        <v>5</v>
      </c>
      <c r="B12" s="13" t="s">
        <v>56</v>
      </c>
      <c r="C12" s="13" t="s">
        <v>59</v>
      </c>
      <c r="D12" s="14" t="s">
        <v>58</v>
      </c>
    </row>
    <row r="13" customFormat="false" ht="17.15" hidden="false" customHeight="false" outlineLevel="0" collapsed="false">
      <c r="A13" s="13" t="s">
        <v>5</v>
      </c>
      <c r="B13" s="13" t="s">
        <v>56</v>
      </c>
      <c r="C13" s="13" t="s">
        <v>60</v>
      </c>
      <c r="D13" s="14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5" min="4" style="0" width="2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48"/>
  </cols>
  <sheetData>
    <row r="1" customFormat="false" ht="17.15" hidden="false" customHeight="false" outlineLevel="0" collapsed="false">
      <c r="A1" s="12" t="s">
        <v>41</v>
      </c>
      <c r="B1" s="12" t="s">
        <v>61</v>
      </c>
      <c r="C1" s="12" t="s">
        <v>3</v>
      </c>
      <c r="D1" s="12" t="s">
        <v>62</v>
      </c>
      <c r="E1" s="12" t="s">
        <v>43</v>
      </c>
      <c r="F1" s="12" t="s">
        <v>63</v>
      </c>
      <c r="G1" s="12" t="s">
        <v>64</v>
      </c>
      <c r="H1" s="12" t="s">
        <v>65</v>
      </c>
      <c r="I1" s="12" t="s">
        <v>66</v>
      </c>
    </row>
    <row r="2" customFormat="false" ht="17.15" hidden="false" customHeight="false" outlineLevel="0" collapsed="false">
      <c r="A2" s="15" t="s">
        <v>4</v>
      </c>
      <c r="B2" s="16" t="n">
        <v>1</v>
      </c>
      <c r="C2" s="15" t="s">
        <v>10</v>
      </c>
      <c r="D2" s="15" t="s">
        <v>67</v>
      </c>
      <c r="E2" s="15" t="s">
        <v>68</v>
      </c>
      <c r="F2" s="17" t="s">
        <v>69</v>
      </c>
      <c r="G2" s="17" t="s">
        <v>69</v>
      </c>
      <c r="H2" s="15" t="s">
        <v>70</v>
      </c>
      <c r="I2" s="15"/>
    </row>
    <row r="3" customFormat="false" ht="17.15" hidden="false" customHeight="false" outlineLevel="0" collapsed="false">
      <c r="A3" s="15" t="s">
        <v>4</v>
      </c>
      <c r="B3" s="16" t="n">
        <v>1</v>
      </c>
      <c r="C3" s="15" t="s">
        <v>10</v>
      </c>
      <c r="D3" s="15" t="s">
        <v>67</v>
      </c>
      <c r="E3" s="15" t="s">
        <v>71</v>
      </c>
      <c r="F3" s="17" t="s">
        <v>72</v>
      </c>
      <c r="G3" s="17" t="s">
        <v>72</v>
      </c>
      <c r="H3" s="15" t="s">
        <v>70</v>
      </c>
      <c r="I3" s="15"/>
    </row>
    <row r="4" customFormat="false" ht="17.15" hidden="false" customHeight="false" outlineLevel="0" collapsed="false">
      <c r="A4" s="15" t="s">
        <v>4</v>
      </c>
      <c r="B4" s="16" t="n">
        <v>1</v>
      </c>
      <c r="C4" s="15" t="s">
        <v>10</v>
      </c>
      <c r="D4" s="15" t="s">
        <v>67</v>
      </c>
      <c r="E4" s="15" t="s">
        <v>73</v>
      </c>
      <c r="F4" s="17" t="s">
        <v>74</v>
      </c>
      <c r="G4" s="17" t="s">
        <v>74</v>
      </c>
      <c r="H4" s="15" t="s">
        <v>70</v>
      </c>
      <c r="I4" s="15"/>
    </row>
    <row r="5" customFormat="false" ht="17.15" hidden="false" customHeight="false" outlineLevel="0" collapsed="false">
      <c r="A5" s="15" t="s">
        <v>4</v>
      </c>
      <c r="B5" s="16" t="n">
        <v>1</v>
      </c>
      <c r="C5" s="15" t="s">
        <v>10</v>
      </c>
      <c r="D5" s="15" t="s">
        <v>67</v>
      </c>
      <c r="E5" s="18" t="s">
        <v>75</v>
      </c>
      <c r="F5" s="17" t="s">
        <v>76</v>
      </c>
      <c r="G5" s="17" t="s">
        <v>76</v>
      </c>
      <c r="H5" s="15" t="s">
        <v>70</v>
      </c>
      <c r="I5" s="15" t="s">
        <v>77</v>
      </c>
    </row>
    <row r="6" customFormat="false" ht="17.15" hidden="false" customHeight="false" outlineLevel="0" collapsed="false">
      <c r="A6" s="15" t="s">
        <v>4</v>
      </c>
      <c r="B6" s="16" t="n">
        <v>2</v>
      </c>
      <c r="C6" s="18" t="s">
        <v>14</v>
      </c>
      <c r="D6" s="15" t="s">
        <v>78</v>
      </c>
      <c r="E6" s="15" t="s">
        <v>79</v>
      </c>
      <c r="F6" s="17" t="s">
        <v>80</v>
      </c>
      <c r="G6" s="17" t="s">
        <v>80</v>
      </c>
      <c r="H6" s="15" t="s">
        <v>70</v>
      </c>
      <c r="I6" s="18"/>
    </row>
    <row r="7" customFormat="false" ht="17.15" hidden="false" customHeight="false" outlineLevel="0" collapsed="false">
      <c r="A7" s="15" t="s">
        <v>4</v>
      </c>
      <c r="B7" s="16" t="n">
        <v>2</v>
      </c>
      <c r="C7" s="18" t="s">
        <v>14</v>
      </c>
      <c r="D7" s="15" t="s">
        <v>78</v>
      </c>
      <c r="E7" s="15" t="s">
        <v>81</v>
      </c>
      <c r="F7" s="17" t="s">
        <v>82</v>
      </c>
      <c r="G7" s="17" t="s">
        <v>82</v>
      </c>
      <c r="H7" s="15" t="s">
        <v>70</v>
      </c>
      <c r="I7" s="18"/>
    </row>
    <row r="8" customFormat="false" ht="17.15" hidden="false" customHeight="false" outlineLevel="0" collapsed="false">
      <c r="A8" s="15" t="s">
        <v>4</v>
      </c>
      <c r="B8" s="16" t="n">
        <v>2</v>
      </c>
      <c r="C8" s="18" t="s">
        <v>14</v>
      </c>
      <c r="D8" s="15" t="s">
        <v>78</v>
      </c>
      <c r="E8" s="15" t="s">
        <v>83</v>
      </c>
      <c r="F8" s="17" t="s">
        <v>84</v>
      </c>
      <c r="G8" s="17" t="s">
        <v>84</v>
      </c>
      <c r="H8" s="15" t="s">
        <v>70</v>
      </c>
      <c r="I8" s="18"/>
    </row>
    <row r="9" customFormat="false" ht="17.15" hidden="false" customHeight="false" outlineLevel="0" collapsed="false">
      <c r="A9" s="15" t="s">
        <v>4</v>
      </c>
      <c r="B9" s="16" t="n">
        <v>2</v>
      </c>
      <c r="C9" s="18" t="s">
        <v>14</v>
      </c>
      <c r="D9" s="15" t="s">
        <v>78</v>
      </c>
      <c r="E9" s="15" t="s">
        <v>85</v>
      </c>
      <c r="F9" s="17" t="s">
        <v>86</v>
      </c>
      <c r="G9" s="17" t="s">
        <v>86</v>
      </c>
      <c r="H9" s="15" t="s">
        <v>70</v>
      </c>
      <c r="I9" s="18"/>
    </row>
    <row r="10" customFormat="false" ht="17.15" hidden="false" customHeight="false" outlineLevel="0" collapsed="false">
      <c r="A10" s="15" t="s">
        <v>4</v>
      </c>
      <c r="B10" s="16" t="n">
        <v>2</v>
      </c>
      <c r="C10" s="18" t="s">
        <v>14</v>
      </c>
      <c r="D10" s="15" t="s">
        <v>78</v>
      </c>
      <c r="E10" s="15" t="s">
        <v>87</v>
      </c>
      <c r="F10" s="17" t="s">
        <v>88</v>
      </c>
      <c r="G10" s="17" t="s">
        <v>88</v>
      </c>
      <c r="H10" s="15" t="s">
        <v>70</v>
      </c>
      <c r="I10" s="18"/>
    </row>
    <row r="11" customFormat="false" ht="17.15" hidden="false" customHeight="false" outlineLevel="0" collapsed="false">
      <c r="A11" s="15" t="s">
        <v>4</v>
      </c>
      <c r="B11" s="16" t="n">
        <v>2</v>
      </c>
      <c r="C11" s="18" t="s">
        <v>14</v>
      </c>
      <c r="D11" s="15" t="s">
        <v>89</v>
      </c>
      <c r="E11" s="15" t="s">
        <v>90</v>
      </c>
      <c r="F11" s="17" t="s">
        <v>91</v>
      </c>
      <c r="G11" s="17" t="s">
        <v>91</v>
      </c>
      <c r="H11" s="15" t="s">
        <v>92</v>
      </c>
      <c r="I11" s="15" t="s">
        <v>93</v>
      </c>
    </row>
    <row r="12" customFormat="false" ht="17.15" hidden="false" customHeight="false" outlineLevel="0" collapsed="false">
      <c r="A12" s="15" t="s">
        <v>4</v>
      </c>
      <c r="B12" s="16" t="n">
        <v>3</v>
      </c>
      <c r="C12" s="15" t="s">
        <v>18</v>
      </c>
      <c r="D12" s="15" t="s">
        <v>94</v>
      </c>
      <c r="E12" s="18" t="s">
        <v>95</v>
      </c>
      <c r="F12" s="17" t="s">
        <v>96</v>
      </c>
      <c r="G12" s="17" t="s">
        <v>96</v>
      </c>
      <c r="H12" s="15" t="s">
        <v>70</v>
      </c>
      <c r="I12" s="18"/>
    </row>
    <row r="13" customFormat="false" ht="17.15" hidden="false" customHeight="false" outlineLevel="0" collapsed="false">
      <c r="A13" s="15" t="s">
        <v>4</v>
      </c>
      <c r="B13" s="16" t="n">
        <v>3</v>
      </c>
      <c r="C13" s="15" t="s">
        <v>18</v>
      </c>
      <c r="D13" s="15" t="s">
        <v>94</v>
      </c>
      <c r="E13" s="18" t="s">
        <v>97</v>
      </c>
      <c r="F13" s="17" t="s">
        <v>98</v>
      </c>
      <c r="G13" s="17" t="s">
        <v>98</v>
      </c>
      <c r="H13" s="15" t="s">
        <v>70</v>
      </c>
      <c r="I13" s="18"/>
    </row>
    <row r="14" customFormat="false" ht="17.15" hidden="false" customHeight="false" outlineLevel="0" collapsed="false">
      <c r="A14" s="15" t="s">
        <v>4</v>
      </c>
      <c r="B14" s="16" t="n">
        <v>3</v>
      </c>
      <c r="C14" s="15" t="s">
        <v>18</v>
      </c>
      <c r="D14" s="15" t="s">
        <v>94</v>
      </c>
      <c r="E14" s="15" t="s">
        <v>99</v>
      </c>
      <c r="F14" s="17" t="s">
        <v>100</v>
      </c>
      <c r="G14" s="17" t="s">
        <v>100</v>
      </c>
      <c r="H14" s="15" t="s">
        <v>70</v>
      </c>
      <c r="I14" s="15" t="s">
        <v>101</v>
      </c>
    </row>
    <row r="15" customFormat="false" ht="17.15" hidden="false" customHeight="false" outlineLevel="0" collapsed="false">
      <c r="A15" s="15" t="s">
        <v>4</v>
      </c>
      <c r="B15" s="16" t="n">
        <v>3</v>
      </c>
      <c r="C15" s="15" t="s">
        <v>18</v>
      </c>
      <c r="D15" s="15" t="s">
        <v>94</v>
      </c>
      <c r="E15" s="15" t="s">
        <v>102</v>
      </c>
      <c r="F15" s="17" t="s">
        <v>103</v>
      </c>
      <c r="G15" s="17" t="s">
        <v>103</v>
      </c>
      <c r="H15" s="15" t="s">
        <v>70</v>
      </c>
      <c r="I15" s="18"/>
    </row>
    <row r="16" customFormat="false" ht="17.15" hidden="false" customHeight="false" outlineLevel="0" collapsed="false">
      <c r="A16" s="15" t="s">
        <v>4</v>
      </c>
      <c r="B16" s="16" t="n">
        <v>3</v>
      </c>
      <c r="C16" s="15" t="s">
        <v>18</v>
      </c>
      <c r="D16" s="15" t="s">
        <v>94</v>
      </c>
      <c r="E16" s="15" t="s">
        <v>104</v>
      </c>
      <c r="F16" s="17" t="s">
        <v>105</v>
      </c>
      <c r="G16" s="17" t="s">
        <v>105</v>
      </c>
      <c r="H16" s="15" t="s">
        <v>70</v>
      </c>
      <c r="I16" s="18"/>
    </row>
    <row r="17" customFormat="false" ht="17.15" hidden="false" customHeight="false" outlineLevel="0" collapsed="false">
      <c r="A17" s="15" t="s">
        <v>4</v>
      </c>
      <c r="B17" s="16" t="n">
        <v>3</v>
      </c>
      <c r="C17" s="15" t="s">
        <v>18</v>
      </c>
      <c r="D17" s="15" t="s">
        <v>94</v>
      </c>
      <c r="E17" s="15" t="s">
        <v>106</v>
      </c>
      <c r="F17" s="17" t="s">
        <v>107</v>
      </c>
      <c r="G17" s="17" t="s">
        <v>107</v>
      </c>
      <c r="H17" s="15" t="s">
        <v>70</v>
      </c>
      <c r="I17" s="18"/>
    </row>
    <row r="18" customFormat="false" ht="17.15" hidden="false" customHeight="false" outlineLevel="0" collapsed="false">
      <c r="A18" s="15" t="s">
        <v>4</v>
      </c>
      <c r="B18" s="16" t="n">
        <v>3</v>
      </c>
      <c r="C18" s="15" t="s">
        <v>18</v>
      </c>
      <c r="D18" s="15" t="s">
        <v>94</v>
      </c>
      <c r="E18" s="15" t="s">
        <v>108</v>
      </c>
      <c r="F18" s="17" t="s">
        <v>109</v>
      </c>
      <c r="G18" s="17" t="s">
        <v>109</v>
      </c>
      <c r="H18" s="15" t="s">
        <v>70</v>
      </c>
      <c r="I18" s="15" t="s">
        <v>110</v>
      </c>
    </row>
    <row r="19" customFormat="false" ht="17.15" hidden="false" customHeight="false" outlineLevel="0" collapsed="false">
      <c r="A19" s="15" t="s">
        <v>4</v>
      </c>
      <c r="B19" s="16" t="n">
        <v>3</v>
      </c>
      <c r="C19" s="15" t="s">
        <v>18</v>
      </c>
      <c r="D19" s="15" t="s">
        <v>94</v>
      </c>
      <c r="E19" s="15" t="s">
        <v>111</v>
      </c>
      <c r="F19" s="17" t="s">
        <v>112</v>
      </c>
      <c r="G19" s="17" t="s">
        <v>112</v>
      </c>
      <c r="H19" s="15" t="s">
        <v>70</v>
      </c>
      <c r="I19" s="18"/>
    </row>
    <row r="20" customFormat="false" ht="17.15" hidden="false" customHeight="false" outlineLevel="0" collapsed="false">
      <c r="A20" s="15" t="s">
        <v>4</v>
      </c>
      <c r="B20" s="16" t="n">
        <v>3</v>
      </c>
      <c r="C20" s="15" t="s">
        <v>18</v>
      </c>
      <c r="D20" s="15" t="s">
        <v>94</v>
      </c>
      <c r="E20" s="15" t="s">
        <v>113</v>
      </c>
      <c r="F20" s="17" t="s">
        <v>114</v>
      </c>
      <c r="G20" s="17" t="s">
        <v>114</v>
      </c>
      <c r="H20" s="15" t="s">
        <v>70</v>
      </c>
      <c r="I20" s="18"/>
    </row>
    <row r="21" customFormat="false" ht="17.15" hidden="false" customHeight="false" outlineLevel="0" collapsed="false">
      <c r="A21" s="15" t="s">
        <v>4</v>
      </c>
      <c r="B21" s="16" t="n">
        <v>3</v>
      </c>
      <c r="C21" s="15" t="s">
        <v>18</v>
      </c>
      <c r="D21" s="15" t="s">
        <v>94</v>
      </c>
      <c r="E21" s="15" t="s">
        <v>115</v>
      </c>
      <c r="F21" s="17" t="s">
        <v>116</v>
      </c>
      <c r="G21" s="17" t="s">
        <v>116</v>
      </c>
      <c r="H21" s="15" t="s">
        <v>70</v>
      </c>
      <c r="I21" s="18"/>
    </row>
    <row r="22" customFormat="false" ht="17.15" hidden="false" customHeight="false" outlineLevel="0" collapsed="false">
      <c r="A22" s="15" t="s">
        <v>4</v>
      </c>
      <c r="B22" s="16" t="n">
        <v>3</v>
      </c>
      <c r="C22" s="15" t="s">
        <v>18</v>
      </c>
      <c r="D22" s="15" t="s">
        <v>94</v>
      </c>
      <c r="E22" s="18" t="s">
        <v>117</v>
      </c>
      <c r="F22" s="17" t="s">
        <v>118</v>
      </c>
      <c r="G22" s="17" t="s">
        <v>118</v>
      </c>
      <c r="H22" s="15" t="s">
        <v>70</v>
      </c>
      <c r="I22" s="18"/>
    </row>
    <row r="23" customFormat="false" ht="17.15" hidden="false" customHeight="false" outlineLevel="0" collapsed="false">
      <c r="A23" s="15" t="s">
        <v>4</v>
      </c>
      <c r="B23" s="16" t="n">
        <v>3</v>
      </c>
      <c r="C23" s="15" t="s">
        <v>18</v>
      </c>
      <c r="D23" s="15" t="s">
        <v>94</v>
      </c>
      <c r="E23" s="18" t="s">
        <v>119</v>
      </c>
      <c r="F23" s="17" t="s">
        <v>120</v>
      </c>
      <c r="G23" s="17" t="s">
        <v>120</v>
      </c>
      <c r="H23" s="15" t="s">
        <v>70</v>
      </c>
      <c r="I23" s="18"/>
    </row>
    <row r="24" customFormat="false" ht="17.15" hidden="false" customHeight="false" outlineLevel="0" collapsed="false">
      <c r="A24" s="15" t="s">
        <v>4</v>
      </c>
      <c r="B24" s="16" t="n">
        <v>3</v>
      </c>
      <c r="C24" s="15" t="s">
        <v>18</v>
      </c>
      <c r="D24" s="15" t="s">
        <v>94</v>
      </c>
      <c r="E24" s="15" t="s">
        <v>121</v>
      </c>
      <c r="F24" s="17" t="s">
        <v>122</v>
      </c>
      <c r="G24" s="17" t="s">
        <v>122</v>
      </c>
      <c r="H24" s="15" t="s">
        <v>70</v>
      </c>
      <c r="I24" s="18"/>
    </row>
    <row r="25" customFormat="false" ht="17.15" hidden="false" customHeight="false" outlineLevel="0" collapsed="false">
      <c r="A25" s="15" t="s">
        <v>4</v>
      </c>
      <c r="B25" s="16" t="n">
        <v>3</v>
      </c>
      <c r="C25" s="15" t="s">
        <v>18</v>
      </c>
      <c r="D25" s="15" t="s">
        <v>89</v>
      </c>
      <c r="E25" s="15" t="s">
        <v>123</v>
      </c>
      <c r="F25" s="17" t="s">
        <v>124</v>
      </c>
      <c r="G25" s="17" t="s">
        <v>124</v>
      </c>
      <c r="H25" s="15" t="s">
        <v>92</v>
      </c>
      <c r="I25" s="18" t="s">
        <v>125</v>
      </c>
    </row>
    <row r="26" customFormat="false" ht="17.15" hidden="false" customHeight="false" outlineLevel="0" collapsed="false">
      <c r="A26" s="15" t="s">
        <v>4</v>
      </c>
      <c r="B26" s="16" t="n">
        <v>4</v>
      </c>
      <c r="C26" s="15" t="s">
        <v>22</v>
      </c>
      <c r="D26" s="15" t="s">
        <v>126</v>
      </c>
      <c r="E26" s="15" t="s">
        <v>127</v>
      </c>
      <c r="F26" s="17" t="s">
        <v>128</v>
      </c>
      <c r="G26" s="17" t="s">
        <v>128</v>
      </c>
      <c r="H26" s="15" t="s">
        <v>70</v>
      </c>
      <c r="I26" s="18"/>
    </row>
    <row r="27" customFormat="false" ht="17.15" hidden="false" customHeight="false" outlineLevel="0" collapsed="false">
      <c r="A27" s="15" t="s">
        <v>4</v>
      </c>
      <c r="B27" s="16" t="n">
        <v>4</v>
      </c>
      <c r="C27" s="15" t="s">
        <v>22</v>
      </c>
      <c r="D27" s="15" t="s">
        <v>126</v>
      </c>
      <c r="E27" s="15" t="s">
        <v>129</v>
      </c>
      <c r="F27" s="17" t="s">
        <v>130</v>
      </c>
      <c r="G27" s="17" t="s">
        <v>130</v>
      </c>
      <c r="H27" s="15" t="s">
        <v>70</v>
      </c>
      <c r="I27" s="18"/>
    </row>
    <row r="28" customFormat="false" ht="17.15" hidden="false" customHeight="false" outlineLevel="0" collapsed="false">
      <c r="A28" s="15" t="s">
        <v>4</v>
      </c>
      <c r="B28" s="16" t="n">
        <v>4</v>
      </c>
      <c r="C28" s="15" t="s">
        <v>22</v>
      </c>
      <c r="D28" s="15" t="s">
        <v>126</v>
      </c>
      <c r="E28" s="15" t="s">
        <v>131</v>
      </c>
      <c r="F28" s="17" t="s">
        <v>132</v>
      </c>
      <c r="G28" s="17" t="s">
        <v>132</v>
      </c>
      <c r="H28" s="15" t="s">
        <v>70</v>
      </c>
      <c r="I28" s="18"/>
    </row>
    <row r="29" customFormat="false" ht="17.15" hidden="false" customHeight="false" outlineLevel="0" collapsed="false">
      <c r="A29" s="15" t="s">
        <v>4</v>
      </c>
      <c r="B29" s="16" t="n">
        <v>4</v>
      </c>
      <c r="C29" s="15" t="s">
        <v>22</v>
      </c>
      <c r="D29" s="15" t="s">
        <v>126</v>
      </c>
      <c r="E29" s="15" t="s">
        <v>133</v>
      </c>
      <c r="F29" s="17" t="s">
        <v>134</v>
      </c>
      <c r="G29" s="17" t="s">
        <v>134</v>
      </c>
      <c r="H29" s="15" t="s">
        <v>70</v>
      </c>
      <c r="I29" s="18"/>
    </row>
    <row r="30" customFormat="false" ht="17.15" hidden="false" customHeight="false" outlineLevel="0" collapsed="false">
      <c r="A30" s="15" t="s">
        <v>4</v>
      </c>
      <c r="B30" s="16" t="n">
        <v>4</v>
      </c>
      <c r="C30" s="15" t="s">
        <v>22</v>
      </c>
      <c r="D30" s="15" t="s">
        <v>126</v>
      </c>
      <c r="E30" s="15" t="s">
        <v>135</v>
      </c>
      <c r="F30" s="17" t="s">
        <v>136</v>
      </c>
      <c r="G30" s="17" t="s">
        <v>136</v>
      </c>
      <c r="H30" s="15" t="s">
        <v>70</v>
      </c>
      <c r="I30" s="18"/>
    </row>
    <row r="31" customFormat="false" ht="17.15" hidden="false" customHeight="false" outlineLevel="0" collapsed="false">
      <c r="A31" s="15" t="s">
        <v>4</v>
      </c>
      <c r="B31" s="16" t="n">
        <v>4</v>
      </c>
      <c r="C31" s="15" t="s">
        <v>22</v>
      </c>
      <c r="D31" s="15" t="s">
        <v>126</v>
      </c>
      <c r="E31" s="15" t="s">
        <v>137</v>
      </c>
      <c r="F31" s="17" t="s">
        <v>138</v>
      </c>
      <c r="G31" s="17" t="s">
        <v>138</v>
      </c>
      <c r="H31" s="15" t="s">
        <v>70</v>
      </c>
      <c r="I31" s="18"/>
    </row>
    <row r="32" customFormat="false" ht="17.15" hidden="false" customHeight="false" outlineLevel="0" collapsed="false">
      <c r="A32" s="15" t="s">
        <v>4</v>
      </c>
      <c r="B32" s="16" t="n">
        <v>4</v>
      </c>
      <c r="C32" s="15" t="s">
        <v>22</v>
      </c>
      <c r="D32" s="15" t="s">
        <v>126</v>
      </c>
      <c r="E32" s="15" t="s">
        <v>139</v>
      </c>
      <c r="F32" s="17" t="s">
        <v>140</v>
      </c>
      <c r="G32" s="17" t="s">
        <v>140</v>
      </c>
      <c r="H32" s="15" t="s">
        <v>70</v>
      </c>
      <c r="I32" s="18"/>
    </row>
    <row r="33" customFormat="false" ht="17.15" hidden="false" customHeight="false" outlineLevel="0" collapsed="false">
      <c r="A33" s="15" t="s">
        <v>4</v>
      </c>
      <c r="B33" s="16" t="n">
        <v>4</v>
      </c>
      <c r="C33" s="15" t="s">
        <v>22</v>
      </c>
      <c r="D33" s="15" t="s">
        <v>126</v>
      </c>
      <c r="E33" s="15" t="s">
        <v>141</v>
      </c>
      <c r="F33" s="17" t="s">
        <v>142</v>
      </c>
      <c r="G33" s="17" t="s">
        <v>142</v>
      </c>
      <c r="H33" s="15" t="s">
        <v>70</v>
      </c>
      <c r="I33" s="18"/>
    </row>
    <row r="34" customFormat="false" ht="17.15" hidden="false" customHeight="false" outlineLevel="0" collapsed="false">
      <c r="A34" s="15" t="s">
        <v>4</v>
      </c>
      <c r="B34" s="16" t="n">
        <v>5</v>
      </c>
      <c r="C34" s="15" t="s">
        <v>25</v>
      </c>
      <c r="D34" s="15" t="s">
        <v>143</v>
      </c>
      <c r="E34" s="15" t="s">
        <v>144</v>
      </c>
      <c r="F34" s="17" t="s">
        <v>145</v>
      </c>
      <c r="G34" s="17" t="s">
        <v>145</v>
      </c>
      <c r="H34" s="15" t="s">
        <v>70</v>
      </c>
      <c r="I34" s="18"/>
    </row>
    <row r="35" customFormat="false" ht="17.15" hidden="false" customHeight="false" outlineLevel="0" collapsed="false">
      <c r="A35" s="15" t="s">
        <v>4</v>
      </c>
      <c r="B35" s="16" t="n">
        <v>5</v>
      </c>
      <c r="C35" s="15" t="s">
        <v>25</v>
      </c>
      <c r="D35" s="15" t="s">
        <v>143</v>
      </c>
      <c r="E35" s="15" t="s">
        <v>146</v>
      </c>
      <c r="F35" s="17" t="s">
        <v>147</v>
      </c>
      <c r="G35" s="17" t="s">
        <v>147</v>
      </c>
      <c r="H35" s="15" t="s">
        <v>70</v>
      </c>
      <c r="I35" s="18"/>
    </row>
    <row r="36" customFormat="false" ht="17.15" hidden="false" customHeight="false" outlineLevel="0" collapsed="false">
      <c r="A36" s="15" t="s">
        <v>4</v>
      </c>
      <c r="B36" s="16" t="n">
        <v>5</v>
      </c>
      <c r="C36" s="15" t="s">
        <v>25</v>
      </c>
      <c r="D36" s="15" t="s">
        <v>143</v>
      </c>
      <c r="E36" s="15" t="s">
        <v>148</v>
      </c>
      <c r="F36" s="17" t="s">
        <v>149</v>
      </c>
      <c r="G36" s="17" t="s">
        <v>149</v>
      </c>
      <c r="H36" s="15" t="s">
        <v>70</v>
      </c>
      <c r="I36" s="18"/>
    </row>
    <row r="37" customFormat="false" ht="17.15" hidden="false" customHeight="false" outlineLevel="0" collapsed="false">
      <c r="A37" s="15" t="s">
        <v>4</v>
      </c>
      <c r="B37" s="16" t="n">
        <v>5</v>
      </c>
      <c r="C37" s="15" t="s">
        <v>25</v>
      </c>
      <c r="D37" s="15" t="s">
        <v>143</v>
      </c>
      <c r="E37" s="15" t="s">
        <v>150</v>
      </c>
      <c r="F37" s="17" t="s">
        <v>151</v>
      </c>
      <c r="G37" s="17" t="s">
        <v>151</v>
      </c>
      <c r="H37" s="15" t="s">
        <v>70</v>
      </c>
      <c r="I37" s="18"/>
    </row>
    <row r="38" customFormat="false" ht="17.15" hidden="false" customHeight="false" outlineLevel="0" collapsed="false">
      <c r="A38" s="15" t="s">
        <v>4</v>
      </c>
      <c r="B38" s="16" t="n">
        <v>5</v>
      </c>
      <c r="C38" s="15" t="s">
        <v>25</v>
      </c>
      <c r="D38" s="15" t="s">
        <v>143</v>
      </c>
      <c r="E38" s="15" t="s">
        <v>152</v>
      </c>
      <c r="F38" s="17" t="s">
        <v>153</v>
      </c>
      <c r="G38" s="17" t="s">
        <v>153</v>
      </c>
      <c r="H38" s="15" t="s">
        <v>70</v>
      </c>
      <c r="I38" s="18"/>
    </row>
    <row r="39" customFormat="false" ht="17.15" hidden="false" customHeight="false" outlineLevel="0" collapsed="false">
      <c r="A39" s="15" t="s">
        <v>4</v>
      </c>
      <c r="B39" s="16" t="n">
        <v>6</v>
      </c>
      <c r="C39" s="15" t="s">
        <v>28</v>
      </c>
      <c r="D39" s="15" t="s">
        <v>154</v>
      </c>
      <c r="E39" s="15" t="s">
        <v>155</v>
      </c>
      <c r="F39" s="17" t="s">
        <v>156</v>
      </c>
      <c r="G39" s="17" t="s">
        <v>156</v>
      </c>
      <c r="H39" s="15" t="s">
        <v>70</v>
      </c>
      <c r="I39" s="18"/>
    </row>
    <row r="40" customFormat="false" ht="17.15" hidden="false" customHeight="false" outlineLevel="0" collapsed="false">
      <c r="A40" s="15" t="s">
        <v>4</v>
      </c>
      <c r="B40" s="16" t="n">
        <v>6</v>
      </c>
      <c r="C40" s="15" t="s">
        <v>28</v>
      </c>
      <c r="D40" s="15" t="s">
        <v>154</v>
      </c>
      <c r="E40" s="15" t="s">
        <v>157</v>
      </c>
      <c r="F40" s="17" t="s">
        <v>158</v>
      </c>
      <c r="G40" s="17" t="s">
        <v>158</v>
      </c>
      <c r="H40" s="15" t="s">
        <v>70</v>
      </c>
      <c r="I40" s="18"/>
    </row>
    <row r="41" customFormat="false" ht="17.15" hidden="false" customHeight="false" outlineLevel="0" collapsed="false">
      <c r="A41" s="15" t="s">
        <v>4</v>
      </c>
      <c r="B41" s="16" t="n">
        <v>6</v>
      </c>
      <c r="C41" s="15" t="s">
        <v>28</v>
      </c>
      <c r="D41" s="15" t="s">
        <v>154</v>
      </c>
      <c r="E41" s="15" t="s">
        <v>159</v>
      </c>
      <c r="F41" s="17" t="s">
        <v>160</v>
      </c>
      <c r="G41" s="17" t="s">
        <v>160</v>
      </c>
      <c r="H41" s="15" t="s">
        <v>70</v>
      </c>
      <c r="I41" s="18"/>
    </row>
    <row r="42" customFormat="false" ht="17.15" hidden="false" customHeight="false" outlineLevel="0" collapsed="false">
      <c r="A42" s="15" t="s">
        <v>4</v>
      </c>
      <c r="B42" s="16" t="n">
        <v>6</v>
      </c>
      <c r="C42" s="15" t="s">
        <v>28</v>
      </c>
      <c r="D42" s="15" t="s">
        <v>154</v>
      </c>
      <c r="E42" s="15" t="s">
        <v>161</v>
      </c>
      <c r="F42" s="17" t="s">
        <v>162</v>
      </c>
      <c r="G42" s="17" t="s">
        <v>162</v>
      </c>
      <c r="H42" s="15" t="s">
        <v>70</v>
      </c>
      <c r="I42" s="18"/>
    </row>
    <row r="43" customFormat="false" ht="17.15" hidden="false" customHeight="false" outlineLevel="0" collapsed="false">
      <c r="A43" s="15" t="s">
        <v>4</v>
      </c>
      <c r="B43" s="16" t="n">
        <v>6</v>
      </c>
      <c r="C43" s="15" t="s">
        <v>28</v>
      </c>
      <c r="D43" s="15" t="s">
        <v>154</v>
      </c>
      <c r="E43" s="18" t="s">
        <v>163</v>
      </c>
      <c r="F43" s="17" t="s">
        <v>164</v>
      </c>
      <c r="G43" s="17" t="s">
        <v>164</v>
      </c>
      <c r="H43" s="15" t="s">
        <v>70</v>
      </c>
      <c r="I43" s="18"/>
    </row>
    <row r="44" customFormat="false" ht="17.15" hidden="false" customHeight="false" outlineLevel="0" collapsed="false">
      <c r="A44" s="15" t="s">
        <v>4</v>
      </c>
      <c r="B44" s="16" t="n">
        <v>6</v>
      </c>
      <c r="C44" s="15" t="s">
        <v>28</v>
      </c>
      <c r="D44" s="15" t="s">
        <v>154</v>
      </c>
      <c r="E44" s="15" t="s">
        <v>165</v>
      </c>
      <c r="F44" s="17" t="s">
        <v>166</v>
      </c>
      <c r="G44" s="17" t="s">
        <v>166</v>
      </c>
      <c r="H44" s="15" t="s">
        <v>70</v>
      </c>
      <c r="I44" s="18"/>
    </row>
    <row r="45" customFormat="false" ht="17.15" hidden="false" customHeight="false" outlineLevel="0" collapsed="false">
      <c r="A45" s="15" t="s">
        <v>4</v>
      </c>
      <c r="B45" s="16" t="n">
        <v>6</v>
      </c>
      <c r="C45" s="15" t="s">
        <v>28</v>
      </c>
      <c r="D45" s="15" t="s">
        <v>89</v>
      </c>
      <c r="E45" s="15" t="s">
        <v>167</v>
      </c>
      <c r="F45" s="17" t="s">
        <v>168</v>
      </c>
      <c r="G45" s="17" t="s">
        <v>168</v>
      </c>
      <c r="H45" s="15" t="s">
        <v>92</v>
      </c>
      <c r="I45" s="15" t="s">
        <v>169</v>
      </c>
    </row>
    <row r="46" customFormat="false" ht="17.15" hidden="false" customHeight="false" outlineLevel="0" collapsed="false">
      <c r="A46" s="15" t="s">
        <v>4</v>
      </c>
      <c r="B46" s="16" t="n">
        <v>7</v>
      </c>
      <c r="C46" s="15" t="s">
        <v>30</v>
      </c>
      <c r="D46" s="15" t="s">
        <v>170</v>
      </c>
      <c r="E46" s="15" t="s">
        <v>171</v>
      </c>
      <c r="F46" s="17" t="s">
        <v>172</v>
      </c>
      <c r="G46" s="17" t="s">
        <v>172</v>
      </c>
      <c r="H46" s="15" t="s">
        <v>70</v>
      </c>
      <c r="I46" s="15" t="s">
        <v>173</v>
      </c>
    </row>
    <row r="47" customFormat="false" ht="17.15" hidden="false" customHeight="false" outlineLevel="0" collapsed="false">
      <c r="A47" s="15" t="s">
        <v>4</v>
      </c>
      <c r="B47" s="16" t="n">
        <v>7</v>
      </c>
      <c r="C47" s="15" t="s">
        <v>30</v>
      </c>
      <c r="D47" s="15" t="s">
        <v>170</v>
      </c>
      <c r="E47" s="15" t="s">
        <v>174</v>
      </c>
      <c r="F47" s="17" t="s">
        <v>175</v>
      </c>
      <c r="G47" s="17" t="s">
        <v>175</v>
      </c>
      <c r="H47" s="15" t="s">
        <v>70</v>
      </c>
      <c r="I47" s="18" t="s">
        <v>176</v>
      </c>
    </row>
    <row r="48" customFormat="false" ht="17.15" hidden="false" customHeight="false" outlineLevel="0" collapsed="false">
      <c r="A48" s="15" t="s">
        <v>4</v>
      </c>
      <c r="B48" s="16" t="n">
        <v>7</v>
      </c>
      <c r="C48" s="15" t="s">
        <v>30</v>
      </c>
      <c r="D48" s="15" t="s">
        <v>170</v>
      </c>
      <c r="E48" s="15" t="s">
        <v>177</v>
      </c>
      <c r="F48" s="17" t="s">
        <v>178</v>
      </c>
      <c r="G48" s="17" t="s">
        <v>178</v>
      </c>
      <c r="H48" s="15" t="s">
        <v>70</v>
      </c>
      <c r="I48" s="18"/>
    </row>
    <row r="49" customFormat="false" ht="17.15" hidden="false" customHeight="false" outlineLevel="0" collapsed="false">
      <c r="A49" s="15" t="s">
        <v>4</v>
      </c>
      <c r="B49" s="16" t="n">
        <v>7</v>
      </c>
      <c r="C49" s="15" t="s">
        <v>30</v>
      </c>
      <c r="D49" s="15" t="s">
        <v>170</v>
      </c>
      <c r="E49" s="15" t="s">
        <v>179</v>
      </c>
      <c r="F49" s="17" t="s">
        <v>180</v>
      </c>
      <c r="G49" s="17" t="s">
        <v>180</v>
      </c>
      <c r="H49" s="15" t="s">
        <v>70</v>
      </c>
      <c r="I49" s="18" t="s">
        <v>176</v>
      </c>
    </row>
    <row r="50" customFormat="false" ht="17.15" hidden="false" customHeight="false" outlineLevel="0" collapsed="false">
      <c r="A50" s="15" t="s">
        <v>4</v>
      </c>
      <c r="B50" s="16" t="n">
        <v>7</v>
      </c>
      <c r="C50" s="15" t="s">
        <v>30</v>
      </c>
      <c r="D50" s="15" t="s">
        <v>170</v>
      </c>
      <c r="E50" s="15" t="s">
        <v>181</v>
      </c>
      <c r="F50" s="17" t="s">
        <v>182</v>
      </c>
      <c r="G50" s="17" t="s">
        <v>182</v>
      </c>
      <c r="H50" s="15" t="s">
        <v>70</v>
      </c>
      <c r="I50" s="18"/>
    </row>
    <row r="51" customFormat="false" ht="17.15" hidden="false" customHeight="false" outlineLevel="0" collapsed="false">
      <c r="A51" s="15" t="s">
        <v>4</v>
      </c>
      <c r="B51" s="16" t="n">
        <v>7</v>
      </c>
      <c r="C51" s="15" t="s">
        <v>30</v>
      </c>
      <c r="D51" s="15" t="s">
        <v>170</v>
      </c>
      <c r="E51" s="15" t="s">
        <v>183</v>
      </c>
      <c r="F51" s="17" t="s">
        <v>184</v>
      </c>
      <c r="G51" s="17" t="s">
        <v>184</v>
      </c>
      <c r="H51" s="15" t="s">
        <v>70</v>
      </c>
      <c r="I51" s="18"/>
    </row>
    <row r="52" customFormat="false" ht="17.15" hidden="false" customHeight="false" outlineLevel="0" collapsed="false">
      <c r="A52" s="15" t="s">
        <v>4</v>
      </c>
      <c r="B52" s="16" t="n">
        <v>7</v>
      </c>
      <c r="C52" s="15" t="s">
        <v>30</v>
      </c>
      <c r="D52" s="15" t="s">
        <v>170</v>
      </c>
      <c r="E52" s="15" t="s">
        <v>185</v>
      </c>
      <c r="F52" s="17" t="s">
        <v>186</v>
      </c>
      <c r="G52" s="17" t="s">
        <v>186</v>
      </c>
      <c r="H52" s="15" t="s">
        <v>70</v>
      </c>
      <c r="I52" s="18"/>
    </row>
    <row r="53" customFormat="false" ht="17.15" hidden="false" customHeight="false" outlineLevel="0" collapsed="false">
      <c r="A53" s="15" t="s">
        <v>4</v>
      </c>
      <c r="B53" s="16" t="n">
        <v>7</v>
      </c>
      <c r="C53" s="15" t="s">
        <v>30</v>
      </c>
      <c r="D53" s="15" t="s">
        <v>89</v>
      </c>
      <c r="E53" s="15" t="s">
        <v>187</v>
      </c>
      <c r="F53" s="17" t="s">
        <v>188</v>
      </c>
      <c r="G53" s="17" t="s">
        <v>188</v>
      </c>
      <c r="H53" s="15" t="s">
        <v>92</v>
      </c>
      <c r="I53" s="15" t="s">
        <v>189</v>
      </c>
    </row>
    <row r="54" customFormat="false" ht="17.15" hidden="false" customHeight="false" outlineLevel="0" collapsed="false">
      <c r="A54" s="15" t="s">
        <v>4</v>
      </c>
      <c r="B54" s="16" t="n">
        <v>7</v>
      </c>
      <c r="C54" s="15" t="s">
        <v>30</v>
      </c>
      <c r="D54" s="15" t="s">
        <v>89</v>
      </c>
      <c r="E54" s="15" t="s">
        <v>190</v>
      </c>
      <c r="F54" s="17" t="s">
        <v>191</v>
      </c>
      <c r="G54" s="17" t="s">
        <v>191</v>
      </c>
      <c r="H54" s="15" t="s">
        <v>92</v>
      </c>
      <c r="I54" s="15" t="s">
        <v>192</v>
      </c>
    </row>
    <row r="55" customFormat="false" ht="17.15" hidden="false" customHeight="false" outlineLevel="0" collapsed="false">
      <c r="A55" s="15" t="s">
        <v>4</v>
      </c>
      <c r="B55" s="16" t="n">
        <v>8</v>
      </c>
      <c r="C55" s="15" t="s">
        <v>34</v>
      </c>
      <c r="D55" s="15" t="s">
        <v>193</v>
      </c>
      <c r="E55" s="15" t="s">
        <v>194</v>
      </c>
      <c r="F55" s="17" t="s">
        <v>195</v>
      </c>
      <c r="G55" s="17" t="s">
        <v>195</v>
      </c>
      <c r="H55" s="15" t="s">
        <v>70</v>
      </c>
      <c r="I55" s="18"/>
    </row>
    <row r="56" customFormat="false" ht="17.15" hidden="false" customHeight="false" outlineLevel="0" collapsed="false">
      <c r="A56" s="15" t="s">
        <v>4</v>
      </c>
      <c r="B56" s="16" t="n">
        <v>8</v>
      </c>
      <c r="C56" s="15" t="s">
        <v>34</v>
      </c>
      <c r="D56" s="15" t="s">
        <v>193</v>
      </c>
      <c r="E56" s="15" t="s">
        <v>196</v>
      </c>
      <c r="F56" s="17" t="s">
        <v>197</v>
      </c>
      <c r="G56" s="17" t="s">
        <v>197</v>
      </c>
      <c r="H56" s="15" t="s">
        <v>70</v>
      </c>
      <c r="I56" s="18"/>
    </row>
    <row r="57" customFormat="false" ht="17.15" hidden="false" customHeight="false" outlineLevel="0" collapsed="false">
      <c r="A57" s="15" t="s">
        <v>4</v>
      </c>
      <c r="B57" s="16"/>
      <c r="C57" s="18" t="s">
        <v>47</v>
      </c>
      <c r="D57" s="15" t="s">
        <v>45</v>
      </c>
      <c r="E57" s="15" t="s">
        <v>46</v>
      </c>
      <c r="F57" s="17" t="s">
        <v>198</v>
      </c>
      <c r="G57" s="17" t="s">
        <v>198</v>
      </c>
      <c r="H57" s="15" t="s">
        <v>199</v>
      </c>
      <c r="I57" s="18" t="s">
        <v>200</v>
      </c>
    </row>
    <row r="58" customFormat="false" ht="17.15" hidden="false" customHeight="false" outlineLevel="0" collapsed="false">
      <c r="A58" s="15" t="s">
        <v>4</v>
      </c>
      <c r="B58" s="16"/>
      <c r="C58" s="18" t="s">
        <v>47</v>
      </c>
      <c r="D58" s="15" t="s">
        <v>45</v>
      </c>
      <c r="E58" s="15" t="s">
        <v>48</v>
      </c>
      <c r="F58" s="17" t="s">
        <v>201</v>
      </c>
      <c r="G58" s="17" t="s">
        <v>201</v>
      </c>
      <c r="H58" s="15" t="s">
        <v>199</v>
      </c>
      <c r="I58" s="18" t="s">
        <v>200</v>
      </c>
    </row>
    <row r="59" customFormat="false" ht="17.15" hidden="false" customHeight="false" outlineLevel="0" collapsed="false">
      <c r="A59" s="15" t="s">
        <v>4</v>
      </c>
      <c r="B59" s="16"/>
      <c r="C59" s="18" t="s">
        <v>47</v>
      </c>
      <c r="D59" s="15" t="s">
        <v>45</v>
      </c>
      <c r="E59" s="15" t="s">
        <v>49</v>
      </c>
      <c r="F59" s="17" t="s">
        <v>202</v>
      </c>
      <c r="G59" s="17" t="s">
        <v>202</v>
      </c>
      <c r="H59" s="15" t="s">
        <v>199</v>
      </c>
      <c r="I59" s="18" t="s">
        <v>200</v>
      </c>
    </row>
    <row r="60" customFormat="false" ht="17.15" hidden="false" customHeight="false" outlineLevel="0" collapsed="false">
      <c r="A60" s="15" t="s">
        <v>4</v>
      </c>
      <c r="B60" s="16"/>
      <c r="C60" s="18" t="s">
        <v>47</v>
      </c>
      <c r="D60" s="15" t="s">
        <v>45</v>
      </c>
      <c r="E60" s="15" t="s">
        <v>50</v>
      </c>
      <c r="F60" s="17" t="s">
        <v>203</v>
      </c>
      <c r="G60" s="17" t="s">
        <v>203</v>
      </c>
      <c r="H60" s="15" t="s">
        <v>199</v>
      </c>
      <c r="I60" s="18" t="s">
        <v>200</v>
      </c>
    </row>
    <row r="61" customFormat="false" ht="17.15" hidden="false" customHeight="false" outlineLevel="0" collapsed="false">
      <c r="A61" s="15" t="s">
        <v>4</v>
      </c>
      <c r="B61" s="16"/>
      <c r="C61" s="18" t="s">
        <v>47</v>
      </c>
      <c r="D61" s="15" t="s">
        <v>45</v>
      </c>
      <c r="E61" s="15" t="s">
        <v>51</v>
      </c>
      <c r="F61" s="17" t="s">
        <v>204</v>
      </c>
      <c r="G61" s="17" t="s">
        <v>204</v>
      </c>
      <c r="H61" s="15" t="s">
        <v>199</v>
      </c>
      <c r="I61" s="18" t="s">
        <v>200</v>
      </c>
    </row>
    <row r="62" customFormat="false" ht="17.15" hidden="false" customHeight="false" outlineLevel="0" collapsed="false">
      <c r="A62" s="15" t="s">
        <v>5</v>
      </c>
      <c r="B62" s="16" t="n">
        <v>1</v>
      </c>
      <c r="C62" s="15" t="s">
        <v>10</v>
      </c>
      <c r="D62" s="15" t="s">
        <v>205</v>
      </c>
      <c r="E62" s="15" t="s">
        <v>206</v>
      </c>
      <c r="F62" s="17" t="s">
        <v>207</v>
      </c>
      <c r="G62" s="17" t="s">
        <v>208</v>
      </c>
      <c r="H62" s="15" t="s">
        <v>70</v>
      </c>
      <c r="I62" s="18"/>
    </row>
    <row r="63" customFormat="false" ht="17.15" hidden="false" customHeight="false" outlineLevel="0" collapsed="false">
      <c r="A63" s="15" t="s">
        <v>5</v>
      </c>
      <c r="B63" s="16" t="n">
        <v>1</v>
      </c>
      <c r="C63" s="15" t="s">
        <v>10</v>
      </c>
      <c r="D63" s="15" t="s">
        <v>205</v>
      </c>
      <c r="E63" s="15" t="s">
        <v>209</v>
      </c>
      <c r="F63" s="17" t="s">
        <v>210</v>
      </c>
      <c r="G63" s="17" t="s">
        <v>211</v>
      </c>
      <c r="H63" s="15" t="s">
        <v>70</v>
      </c>
      <c r="I63" s="18"/>
    </row>
    <row r="64" customFormat="false" ht="17.15" hidden="false" customHeight="false" outlineLevel="0" collapsed="false">
      <c r="A64" s="15" t="s">
        <v>5</v>
      </c>
      <c r="B64" s="16" t="n">
        <v>1</v>
      </c>
      <c r="C64" s="15" t="s">
        <v>10</v>
      </c>
      <c r="D64" s="15" t="s">
        <v>205</v>
      </c>
      <c r="E64" s="15" t="s">
        <v>212</v>
      </c>
      <c r="F64" s="17" t="s">
        <v>213</v>
      </c>
      <c r="G64" s="17" t="s">
        <v>214</v>
      </c>
      <c r="H64" s="15" t="s">
        <v>70</v>
      </c>
      <c r="I64" s="15" t="s">
        <v>215</v>
      </c>
    </row>
    <row r="65" customFormat="false" ht="17.15" hidden="false" customHeight="false" outlineLevel="0" collapsed="false">
      <c r="A65" s="15" t="s">
        <v>5</v>
      </c>
      <c r="B65" s="16" t="n">
        <v>1</v>
      </c>
      <c r="C65" s="15" t="s">
        <v>10</v>
      </c>
      <c r="D65" s="15" t="s">
        <v>205</v>
      </c>
      <c r="E65" s="15" t="s">
        <v>216</v>
      </c>
      <c r="F65" s="17" t="s">
        <v>217</v>
      </c>
      <c r="G65" s="17" t="s">
        <v>218</v>
      </c>
      <c r="H65" s="15" t="s">
        <v>70</v>
      </c>
      <c r="I65" s="18"/>
    </row>
    <row r="66" customFormat="false" ht="17.15" hidden="false" customHeight="false" outlineLevel="0" collapsed="false">
      <c r="A66" s="15" t="s">
        <v>5</v>
      </c>
      <c r="B66" s="16" t="n">
        <v>1</v>
      </c>
      <c r="C66" s="15" t="s">
        <v>10</v>
      </c>
      <c r="D66" s="15" t="s">
        <v>219</v>
      </c>
      <c r="E66" s="15" t="s">
        <v>220</v>
      </c>
      <c r="F66" s="17" t="s">
        <v>221</v>
      </c>
      <c r="G66" s="17" t="s">
        <v>222</v>
      </c>
      <c r="H66" s="15" t="s">
        <v>223</v>
      </c>
      <c r="I66" s="15" t="s">
        <v>224</v>
      </c>
    </row>
    <row r="67" customFormat="false" ht="17.15" hidden="false" customHeight="false" outlineLevel="0" collapsed="false">
      <c r="A67" s="15" t="s">
        <v>5</v>
      </c>
      <c r="B67" s="16" t="n">
        <v>1</v>
      </c>
      <c r="C67" s="15" t="s">
        <v>10</v>
      </c>
      <c r="D67" s="15" t="s">
        <v>225</v>
      </c>
      <c r="E67" s="15" t="s">
        <v>226</v>
      </c>
      <c r="F67" s="17" t="s">
        <v>227</v>
      </c>
      <c r="G67" s="17" t="s">
        <v>228</v>
      </c>
      <c r="H67" s="15" t="s">
        <v>223</v>
      </c>
      <c r="I67" s="15" t="s">
        <v>229</v>
      </c>
    </row>
    <row r="68" customFormat="false" ht="17.15" hidden="false" customHeight="false" outlineLevel="0" collapsed="false">
      <c r="A68" s="15" t="s">
        <v>5</v>
      </c>
      <c r="B68" s="16" t="n">
        <v>2</v>
      </c>
      <c r="C68" s="18" t="s">
        <v>14</v>
      </c>
      <c r="D68" s="15" t="s">
        <v>230</v>
      </c>
      <c r="E68" s="18" t="s">
        <v>231</v>
      </c>
      <c r="F68" s="17" t="s">
        <v>232</v>
      </c>
      <c r="G68" s="17" t="s">
        <v>233</v>
      </c>
      <c r="H68" s="15" t="s">
        <v>223</v>
      </c>
      <c r="I68" s="15" t="s">
        <v>234</v>
      </c>
    </row>
    <row r="69" customFormat="false" ht="17.15" hidden="false" customHeight="false" outlineLevel="0" collapsed="false">
      <c r="A69" s="15" t="s">
        <v>5</v>
      </c>
      <c r="B69" s="16" t="n">
        <v>2</v>
      </c>
      <c r="C69" s="18" t="s">
        <v>14</v>
      </c>
      <c r="D69" s="15" t="s">
        <v>89</v>
      </c>
      <c r="E69" s="15" t="s">
        <v>235</v>
      </c>
      <c r="F69" s="17" t="s">
        <v>236</v>
      </c>
      <c r="G69" s="17" t="s">
        <v>237</v>
      </c>
      <c r="H69" s="15" t="s">
        <v>92</v>
      </c>
      <c r="I69" s="15" t="s">
        <v>238</v>
      </c>
    </row>
    <row r="70" customFormat="false" ht="17.15" hidden="false" customHeight="false" outlineLevel="0" collapsed="false">
      <c r="A70" s="15" t="s">
        <v>5</v>
      </c>
      <c r="B70" s="16" t="n">
        <v>2</v>
      </c>
      <c r="C70" s="18" t="s">
        <v>14</v>
      </c>
      <c r="D70" s="15" t="s">
        <v>89</v>
      </c>
      <c r="E70" s="15" t="s">
        <v>239</v>
      </c>
      <c r="F70" s="17" t="s">
        <v>240</v>
      </c>
      <c r="G70" s="17" t="s">
        <v>241</v>
      </c>
      <c r="H70" s="15" t="s">
        <v>92</v>
      </c>
      <c r="I70" s="15" t="s">
        <v>242</v>
      </c>
    </row>
    <row r="71" customFormat="false" ht="17.15" hidden="false" customHeight="false" outlineLevel="0" collapsed="false">
      <c r="A71" s="15" t="s">
        <v>5</v>
      </c>
      <c r="B71" s="16" t="n">
        <v>3</v>
      </c>
      <c r="C71" s="15" t="s">
        <v>18</v>
      </c>
      <c r="D71" s="15" t="s">
        <v>52</v>
      </c>
      <c r="E71" s="15" t="s">
        <v>53</v>
      </c>
      <c r="F71" s="17" t="s">
        <v>243</v>
      </c>
      <c r="G71" s="17" t="s">
        <v>244</v>
      </c>
      <c r="H71" s="15" t="s">
        <v>223</v>
      </c>
      <c r="I71" s="18" t="s">
        <v>245</v>
      </c>
    </row>
    <row r="72" customFormat="false" ht="17.15" hidden="false" customHeight="false" outlineLevel="0" collapsed="false">
      <c r="A72" s="15" t="s">
        <v>5</v>
      </c>
      <c r="B72" s="16" t="n">
        <v>3</v>
      </c>
      <c r="C72" s="15" t="s">
        <v>18</v>
      </c>
      <c r="D72" s="15" t="s">
        <v>52</v>
      </c>
      <c r="E72" s="15" t="s">
        <v>55</v>
      </c>
      <c r="F72" s="17" t="s">
        <v>246</v>
      </c>
      <c r="G72" s="17" t="s">
        <v>247</v>
      </c>
      <c r="H72" s="15" t="s">
        <v>223</v>
      </c>
      <c r="I72" s="18" t="s">
        <v>245</v>
      </c>
    </row>
    <row r="73" customFormat="false" ht="17.15" hidden="false" customHeight="false" outlineLevel="0" collapsed="false">
      <c r="A73" s="15" t="s">
        <v>5</v>
      </c>
      <c r="B73" s="16" t="n">
        <v>3</v>
      </c>
      <c r="C73" s="15" t="s">
        <v>18</v>
      </c>
      <c r="D73" s="15" t="s">
        <v>219</v>
      </c>
      <c r="E73" s="15" t="s">
        <v>248</v>
      </c>
      <c r="F73" s="17" t="s">
        <v>249</v>
      </c>
      <c r="G73" s="17" t="s">
        <v>250</v>
      </c>
      <c r="H73" s="15" t="s">
        <v>223</v>
      </c>
      <c r="I73" s="15" t="s">
        <v>251</v>
      </c>
    </row>
    <row r="74" customFormat="false" ht="17.15" hidden="false" customHeight="false" outlineLevel="0" collapsed="false">
      <c r="A74" s="15" t="s">
        <v>5</v>
      </c>
      <c r="B74" s="16" t="n">
        <v>3</v>
      </c>
      <c r="C74" s="15" t="s">
        <v>18</v>
      </c>
      <c r="D74" s="15" t="s">
        <v>230</v>
      </c>
      <c r="E74" s="15" t="s">
        <v>252</v>
      </c>
      <c r="F74" s="17" t="s">
        <v>253</v>
      </c>
      <c r="G74" s="17" t="s">
        <v>254</v>
      </c>
      <c r="H74" s="15" t="s">
        <v>223</v>
      </c>
      <c r="I74" s="15" t="s">
        <v>255</v>
      </c>
    </row>
    <row r="75" customFormat="false" ht="17.15" hidden="false" customHeight="false" outlineLevel="0" collapsed="false">
      <c r="A75" s="15" t="s">
        <v>5</v>
      </c>
      <c r="B75" s="16" t="n">
        <v>3</v>
      </c>
      <c r="C75" s="15" t="s">
        <v>18</v>
      </c>
      <c r="D75" s="15" t="s">
        <v>256</v>
      </c>
      <c r="E75" s="15" t="s">
        <v>257</v>
      </c>
      <c r="F75" s="17" t="s">
        <v>258</v>
      </c>
      <c r="G75" s="17" t="s">
        <v>259</v>
      </c>
      <c r="H75" s="15" t="s">
        <v>223</v>
      </c>
      <c r="I75" s="15" t="s">
        <v>229</v>
      </c>
    </row>
    <row r="76" customFormat="false" ht="17.15" hidden="false" customHeight="false" outlineLevel="0" collapsed="false">
      <c r="A76" s="15" t="s">
        <v>5</v>
      </c>
      <c r="B76" s="16" t="n">
        <v>3</v>
      </c>
      <c r="C76" s="15" t="s">
        <v>18</v>
      </c>
      <c r="D76" s="15" t="s">
        <v>89</v>
      </c>
      <c r="E76" s="15" t="s">
        <v>260</v>
      </c>
      <c r="F76" s="17" t="s">
        <v>261</v>
      </c>
      <c r="G76" s="17" t="s">
        <v>262</v>
      </c>
      <c r="H76" s="15" t="s">
        <v>92</v>
      </c>
      <c r="I76" s="18"/>
    </row>
    <row r="77" customFormat="false" ht="17.15" hidden="false" customHeight="false" outlineLevel="0" collapsed="false">
      <c r="A77" s="15" t="s">
        <v>5</v>
      </c>
      <c r="B77" s="16" t="n">
        <v>5</v>
      </c>
      <c r="C77" s="15" t="s">
        <v>25</v>
      </c>
      <c r="D77" s="15" t="s">
        <v>205</v>
      </c>
      <c r="E77" s="15" t="s">
        <v>263</v>
      </c>
      <c r="F77" s="17" t="s">
        <v>264</v>
      </c>
      <c r="G77" s="17" t="s">
        <v>265</v>
      </c>
      <c r="H77" s="15" t="s">
        <v>266</v>
      </c>
      <c r="I77" s="15" t="s">
        <v>267</v>
      </c>
    </row>
    <row r="78" customFormat="false" ht="17.15" hidden="false" customHeight="false" outlineLevel="0" collapsed="false">
      <c r="A78" s="15" t="s">
        <v>5</v>
      </c>
      <c r="B78" s="16" t="n">
        <v>5</v>
      </c>
      <c r="C78" s="15" t="s">
        <v>25</v>
      </c>
      <c r="D78" s="15" t="s">
        <v>89</v>
      </c>
      <c r="E78" s="15" t="s">
        <v>268</v>
      </c>
      <c r="F78" s="17" t="s">
        <v>269</v>
      </c>
      <c r="G78" s="17" t="s">
        <v>270</v>
      </c>
      <c r="H78" s="15" t="s">
        <v>92</v>
      </c>
      <c r="I78" s="15" t="s">
        <v>271</v>
      </c>
    </row>
    <row r="79" customFormat="false" ht="17.15" hidden="false" customHeight="false" outlineLevel="0" collapsed="false">
      <c r="A79" s="15" t="s">
        <v>5</v>
      </c>
      <c r="B79" s="16" t="n">
        <v>7</v>
      </c>
      <c r="C79" s="15" t="s">
        <v>30</v>
      </c>
      <c r="D79" s="15" t="s">
        <v>219</v>
      </c>
      <c r="E79" s="15" t="s">
        <v>272</v>
      </c>
      <c r="F79" s="17" t="s">
        <v>273</v>
      </c>
      <c r="G79" s="17" t="s">
        <v>274</v>
      </c>
      <c r="H79" s="15" t="s">
        <v>223</v>
      </c>
      <c r="I79" s="15" t="s">
        <v>275</v>
      </c>
    </row>
    <row r="80" customFormat="false" ht="17.15" hidden="false" customHeight="false" outlineLevel="0" collapsed="false">
      <c r="A80" s="15" t="s">
        <v>5</v>
      </c>
      <c r="B80" s="16" t="n">
        <v>7</v>
      </c>
      <c r="C80" s="15" t="s">
        <v>30</v>
      </c>
      <c r="D80" s="15" t="s">
        <v>225</v>
      </c>
      <c r="E80" s="15" t="s">
        <v>276</v>
      </c>
      <c r="F80" s="17" t="s">
        <v>277</v>
      </c>
      <c r="G80" s="17" t="s">
        <v>278</v>
      </c>
      <c r="H80" s="15" t="s">
        <v>223</v>
      </c>
      <c r="I80" s="15" t="s">
        <v>229</v>
      </c>
    </row>
    <row r="81" customFormat="false" ht="17.15" hidden="false" customHeight="false" outlineLevel="0" collapsed="false">
      <c r="A81" s="15" t="s">
        <v>5</v>
      </c>
      <c r="B81" s="16" t="n">
        <v>7</v>
      </c>
      <c r="C81" s="15" t="s">
        <v>30</v>
      </c>
      <c r="D81" s="15" t="s">
        <v>256</v>
      </c>
      <c r="E81" s="15" t="s">
        <v>279</v>
      </c>
      <c r="F81" s="17" t="s">
        <v>280</v>
      </c>
      <c r="G81" s="17" t="s">
        <v>281</v>
      </c>
      <c r="H81" s="15" t="s">
        <v>223</v>
      </c>
      <c r="I81" s="15" t="s">
        <v>229</v>
      </c>
    </row>
    <row r="82" customFormat="false" ht="17.15" hidden="false" customHeight="false" outlineLevel="0" collapsed="false">
      <c r="A82" s="15" t="s">
        <v>5</v>
      </c>
      <c r="B82" s="16" t="n">
        <v>7</v>
      </c>
      <c r="C82" s="15" t="s">
        <v>30</v>
      </c>
      <c r="D82" s="15" t="s">
        <v>89</v>
      </c>
      <c r="E82" s="15" t="s">
        <v>282</v>
      </c>
      <c r="F82" s="17" t="s">
        <v>283</v>
      </c>
      <c r="G82" s="17" t="s">
        <v>284</v>
      </c>
      <c r="H82" s="15" t="s">
        <v>92</v>
      </c>
      <c r="I82" s="15" t="s">
        <v>285</v>
      </c>
    </row>
    <row r="83" customFormat="false" ht="17.15" hidden="false" customHeight="false" outlineLevel="0" collapsed="false">
      <c r="A83" s="15" t="s">
        <v>5</v>
      </c>
      <c r="B83" s="16" t="n">
        <v>8</v>
      </c>
      <c r="C83" s="15" t="s">
        <v>34</v>
      </c>
      <c r="D83" s="15" t="s">
        <v>89</v>
      </c>
      <c r="E83" s="15" t="s">
        <v>36</v>
      </c>
      <c r="F83" s="17" t="s">
        <v>286</v>
      </c>
      <c r="G83" s="17" t="s">
        <v>287</v>
      </c>
      <c r="H83" s="15" t="s">
        <v>92</v>
      </c>
      <c r="I83" s="15" t="s">
        <v>288</v>
      </c>
    </row>
    <row r="84" customFormat="false" ht="17.15" hidden="false" customHeight="false" outlineLevel="0" collapsed="false">
      <c r="A84" s="15" t="s">
        <v>5</v>
      </c>
      <c r="B84" s="16" t="n">
        <v>9</v>
      </c>
      <c r="C84" s="15" t="s">
        <v>37</v>
      </c>
      <c r="D84" s="15" t="s">
        <v>56</v>
      </c>
      <c r="E84" s="15" t="s">
        <v>38</v>
      </c>
      <c r="F84" s="17" t="s">
        <v>289</v>
      </c>
      <c r="G84" s="17" t="s">
        <v>290</v>
      </c>
      <c r="H84" s="15" t="s">
        <v>266</v>
      </c>
      <c r="I84" s="15" t="s">
        <v>291</v>
      </c>
    </row>
    <row r="85" customFormat="false" ht="17.15" hidden="false" customHeight="false" outlineLevel="0" collapsed="false">
      <c r="A85" s="15" t="s">
        <v>5</v>
      </c>
      <c r="B85" s="16"/>
      <c r="C85" s="18" t="s">
        <v>58</v>
      </c>
      <c r="D85" s="15" t="s">
        <v>56</v>
      </c>
      <c r="E85" s="15" t="s">
        <v>57</v>
      </c>
      <c r="F85" s="17" t="s">
        <v>292</v>
      </c>
      <c r="G85" s="17" t="s">
        <v>293</v>
      </c>
      <c r="H85" s="15" t="s">
        <v>199</v>
      </c>
      <c r="I85" s="18" t="s">
        <v>294</v>
      </c>
    </row>
    <row r="86" customFormat="false" ht="17.15" hidden="false" customHeight="false" outlineLevel="0" collapsed="false">
      <c r="A86" s="15" t="s">
        <v>5</v>
      </c>
      <c r="B86" s="16"/>
      <c r="C86" s="18" t="s">
        <v>58</v>
      </c>
      <c r="D86" s="15" t="s">
        <v>56</v>
      </c>
      <c r="E86" s="15" t="s">
        <v>59</v>
      </c>
      <c r="F86" s="17" t="s">
        <v>295</v>
      </c>
      <c r="G86" s="17" t="s">
        <v>296</v>
      </c>
      <c r="H86" s="15" t="s">
        <v>199</v>
      </c>
      <c r="I86" s="18" t="s">
        <v>294</v>
      </c>
    </row>
    <row r="87" customFormat="false" ht="17.15" hidden="false" customHeight="false" outlineLevel="0" collapsed="false">
      <c r="A87" s="15" t="s">
        <v>5</v>
      </c>
      <c r="B87" s="16"/>
      <c r="C87" s="18" t="s">
        <v>58</v>
      </c>
      <c r="D87" s="15" t="s">
        <v>56</v>
      </c>
      <c r="E87" s="15" t="s">
        <v>60</v>
      </c>
      <c r="F87" s="17" t="s">
        <v>297</v>
      </c>
      <c r="G87" s="17" t="s">
        <v>298</v>
      </c>
      <c r="H87" s="15" t="s">
        <v>199</v>
      </c>
      <c r="I87" s="18" t="s">
        <v>294</v>
      </c>
    </row>
    <row r="88" customFormat="false" ht="17.15" hidden="false" customHeight="false" outlineLevel="0" collapsed="false">
      <c r="A88" s="15" t="s">
        <v>6</v>
      </c>
      <c r="B88" s="16" t="n">
        <v>1</v>
      </c>
      <c r="C88" s="15" t="s">
        <v>10</v>
      </c>
      <c r="D88" s="15" t="s">
        <v>89</v>
      </c>
      <c r="E88" s="15" t="s">
        <v>299</v>
      </c>
      <c r="F88" s="17" t="s">
        <v>300</v>
      </c>
      <c r="G88" s="17" t="s">
        <v>301</v>
      </c>
      <c r="H88" s="15" t="s">
        <v>92</v>
      </c>
      <c r="I88" s="18"/>
    </row>
    <row r="89" customFormat="false" ht="17.15" hidden="false" customHeight="false" outlineLevel="0" collapsed="false">
      <c r="A89" s="15" t="s">
        <v>6</v>
      </c>
      <c r="B89" s="16" t="n">
        <v>1</v>
      </c>
      <c r="C89" s="15" t="s">
        <v>10</v>
      </c>
      <c r="D89" s="15" t="s">
        <v>89</v>
      </c>
      <c r="E89" s="15" t="s">
        <v>302</v>
      </c>
      <c r="F89" s="17" t="s">
        <v>303</v>
      </c>
      <c r="G89" s="17" t="s">
        <v>304</v>
      </c>
      <c r="H89" s="15" t="s">
        <v>92</v>
      </c>
      <c r="I89" s="18"/>
    </row>
    <row r="90" customFormat="false" ht="17.15" hidden="false" customHeight="false" outlineLevel="0" collapsed="false">
      <c r="A90" s="15" t="s">
        <v>6</v>
      </c>
      <c r="B90" s="16" t="n">
        <v>2</v>
      </c>
      <c r="C90" s="18" t="s">
        <v>14</v>
      </c>
      <c r="D90" s="15" t="s">
        <v>89</v>
      </c>
      <c r="E90" s="15" t="s">
        <v>17</v>
      </c>
      <c r="F90" s="17" t="s">
        <v>305</v>
      </c>
      <c r="G90" s="17" t="s">
        <v>306</v>
      </c>
      <c r="H90" s="15" t="s">
        <v>92</v>
      </c>
      <c r="I90" s="15" t="s">
        <v>307</v>
      </c>
    </row>
    <row r="91" customFormat="false" ht="17.15" hidden="false" customHeight="false" outlineLevel="0" collapsed="false">
      <c r="A91" s="15" t="s">
        <v>6</v>
      </c>
      <c r="B91" s="16" t="n">
        <v>3</v>
      </c>
      <c r="C91" s="15" t="s">
        <v>18</v>
      </c>
      <c r="D91" s="15" t="s">
        <v>89</v>
      </c>
      <c r="E91" s="15" t="s">
        <v>308</v>
      </c>
      <c r="F91" s="17" t="s">
        <v>309</v>
      </c>
      <c r="G91" s="17" t="s">
        <v>310</v>
      </c>
      <c r="H91" s="15" t="s">
        <v>92</v>
      </c>
      <c r="I91" s="18" t="s">
        <v>311</v>
      </c>
    </row>
    <row r="92" customFormat="false" ht="17.15" hidden="false" customHeight="false" outlineLevel="0" collapsed="false">
      <c r="A92" s="15" t="s">
        <v>6</v>
      </c>
      <c r="B92" s="16" t="n">
        <v>3</v>
      </c>
      <c r="C92" s="15" t="s">
        <v>18</v>
      </c>
      <c r="D92" s="15" t="s">
        <v>89</v>
      </c>
      <c r="E92" s="15" t="s">
        <v>312</v>
      </c>
      <c r="F92" s="17" t="s">
        <v>313</v>
      </c>
      <c r="G92" s="17" t="s">
        <v>314</v>
      </c>
      <c r="H92" s="15" t="s">
        <v>92</v>
      </c>
      <c r="I92" s="15" t="s">
        <v>315</v>
      </c>
    </row>
    <row r="93" customFormat="false" ht="17.15" hidden="false" customHeight="false" outlineLevel="0" collapsed="false">
      <c r="A93" s="15" t="s">
        <v>6</v>
      </c>
      <c r="B93" s="16" t="n">
        <v>7</v>
      </c>
      <c r="C93" s="15" t="s">
        <v>30</v>
      </c>
      <c r="D93" s="15" t="s">
        <v>89</v>
      </c>
      <c r="E93" s="15" t="s">
        <v>316</v>
      </c>
      <c r="F93" s="17" t="s">
        <v>317</v>
      </c>
      <c r="G93" s="17" t="s">
        <v>318</v>
      </c>
      <c r="H93" s="15" t="s">
        <v>92</v>
      </c>
      <c r="I93" s="15" t="s">
        <v>319</v>
      </c>
    </row>
    <row r="94" customFormat="false" ht="17.15" hidden="false" customHeight="false" outlineLevel="0" collapsed="false">
      <c r="A94" s="15" t="s">
        <v>6</v>
      </c>
      <c r="B94" s="16" t="n">
        <v>7</v>
      </c>
      <c r="C94" s="15" t="s">
        <v>30</v>
      </c>
      <c r="D94" s="15" t="s">
        <v>89</v>
      </c>
      <c r="E94" s="15" t="s">
        <v>320</v>
      </c>
      <c r="F94" s="17" t="s">
        <v>321</v>
      </c>
      <c r="G94" s="17" t="s">
        <v>322</v>
      </c>
      <c r="H94" s="15" t="s">
        <v>92</v>
      </c>
      <c r="I94" s="18"/>
    </row>
  </sheetData>
  <autoFilter ref="A1:I94"/>
  <conditionalFormatting sqref="A2:I94">
    <cfRule type="expression" priority="2" aboveAverage="0" equalAverage="0" bottom="0" percent="0" rank="0" text="" dxfId="7">
      <formula>$H2="구간 이동"</formula>
    </cfRule>
    <cfRule type="expression" priority="3" aboveAverage="0" equalAverage="0" bottom="0" percent="0" rank="0" text="" dxfId="8">
      <formula>$H2="추가"</formula>
    </cfRule>
    <cfRule type="expression" priority="4" aboveAverage="0" equalAverage="0" bottom="0" percent="0" rank="0" text="" dxfId="9">
      <formula>$H2="신규"</formula>
    </cfRule>
    <cfRule type="expression" priority="5" aboveAverage="0" equalAverage="0" bottom="0" percent="0" rank="0" text="" dxfId="10">
      <formula>$H2="탭 밖 이동"</formula>
    </cfRule>
  </conditionalFormatting>
  <dataValidations count="1">
    <dataValidation allowBlank="false" errorStyle="stop" operator="between" showDropDown="false" showErrorMessage="false" showInputMessage="false" sqref="H2:H94" type="list">
      <formula1>"유지,구간 이동,추가,신규,탭 밖 이동"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2026-10-16T03:55:39Z</dcterms:created>
  <dc:creator>openpyxl</dc:creator>
  <dc:description/>
  <dc:language>en-US</dc:language>
  <cp:lastModifiedBy/>
  <dcterms:modified xsi:type="dcterms:W3CDTF">2026-10-16T03:55:39Z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