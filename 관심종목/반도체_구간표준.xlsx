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탭 요약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목록'!$A$1:$J$153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<sst xmlns="http://schemas.openxmlformats.org/spreadsheetml/2006/main" count="1388" uniqueCount="499">
  <si>
    <t xml:space="preserve">반도체 구간 표준 (국장·미장·일장 공통 순서)</t>
  </si>
  <si>
    <t xml:space="preserve">종목 수는 '종목 목록' 시트에서 자동 집계("탭 밖 이동" 제외). 종목명 열은 작성 시점 기준 텍스트.</t>
  </si>
  <si>
    <t xml:space="preserve">순서</t>
  </si>
  <si>
    <t xml:space="preserve">표준 구간</t>
  </si>
  <si>
    <t xml:space="preserve">국장 탭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</si>
  <si>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</si>
  <si>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</si>
  <si>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</si>
  <si>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</si>
  <si>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</si>
  <si>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</si>
  <si>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팹리스</t>
  </si>
  <si>
    <r>
      <rPr>
        <sz val="11"/>
        <rFont val="Arial"/>
        <family val="0"/>
        <charset val="1"/>
      </rPr>
      <t xml:space="preserve">01 </t>
    </r>
    <r>
      <rPr>
        <sz val="11"/>
        <rFont val="Noto Sans CJK SC"/>
        <family val="2"/>
      </rPr>
      <t xml:space="preserve">반도체</t>
    </r>
  </si>
  <si>
    <t xml:space="preserve">제주반도체, 칩스앤미디어, 엠디바이스, 파두, 사피엔반도체, 퀄리타스반도체, LX세미콘</t>
  </si>
  <si>
    <t xml:space="preserve">엔비디아, AMD, 에이알엠 홀딩스(ADR), 퀄컴, 시놉시스, 케이던스 디자인 시스템즈, 램버스, 세레브라스 시스템즈</t>
  </si>
  <si>
    <t xml:space="preserve">–</t>
  </si>
  <si>
    <r>
      <rPr>
        <sz val="11"/>
        <rFont val="Arial"/>
        <family val="0"/>
        <charset val="1"/>
      </rPr>
      <t xml:space="preserve">ASIC </t>
    </r>
    <r>
      <rPr>
        <sz val="11"/>
        <rFont val="Noto Sans CJK SC"/>
        <family val="2"/>
      </rPr>
      <t xml:space="preserve">디자인하우스</t>
    </r>
  </si>
  <si>
    <t xml:space="preserve">세미파이브, 가온칩스, 에이직랜드, 코아시아, 에이디테크놀로지</t>
  </si>
  <si>
    <t xml:space="preserve">브로드컴, 마벨 테크놀로지 그룹</t>
  </si>
  <si>
    <t xml:space="preserve">소시오넥스트</t>
  </si>
  <si>
    <t xml:space="preserve">메모리</t>
  </si>
  <si>
    <t xml:space="preserve">삼성전자, SK하이닉스, SK스퀘어</t>
  </si>
  <si>
    <t xml:space="preserve">마이크론 테크놀로지, 샌디스크, 웨스턴 디지털</t>
  </si>
  <si>
    <t xml:space="preserve">키오시아홀딩스</t>
  </si>
  <si>
    <t xml:space="preserve">반도체 유통</t>
  </si>
  <si>
    <t xml:space="preserve">미래반도체</t>
  </si>
  <si>
    <t xml:space="preserve">파운드리</t>
  </si>
  <si>
    <r>
      <rPr>
        <sz val="11"/>
        <rFont val="Arial"/>
        <family val="0"/>
        <charset val="1"/>
      </rPr>
      <t xml:space="preserve">DB</t>
    </r>
    <r>
      <rPr>
        <sz val="11"/>
        <rFont val="Noto Sans CJK SC"/>
        <family val="2"/>
      </rPr>
      <t xml:space="preserve">하이텍</t>
    </r>
  </si>
  <si>
    <r>
      <rPr>
        <sz val="11"/>
        <rFont val="Arial"/>
        <family val="0"/>
        <charset val="1"/>
      </rPr>
      <t xml:space="preserve">TSMC(ADR), </t>
    </r>
    <r>
      <rPr>
        <sz val="11"/>
        <rFont val="Noto Sans CJK SC"/>
        <family val="2"/>
      </rPr>
      <t xml:space="preserve">글로벌파운드리스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유엠씨</t>
    </r>
    <r>
      <rPr>
        <sz val="11"/>
        <rFont val="Arial"/>
        <family val="0"/>
        <charset val="1"/>
      </rPr>
      <t xml:space="preserve">(ADS)</t>
    </r>
  </si>
  <si>
    <t xml:space="preserve">전공정</t>
  </si>
  <si>
    <r>
      <rPr>
        <sz val="11"/>
        <rFont val="Arial"/>
        <family val="0"/>
        <charset val="1"/>
      </rPr>
      <t xml:space="preserve">HPSP, </t>
    </r>
    <r>
      <rPr>
        <sz val="11"/>
        <rFont val="Noto Sans CJK SC"/>
        <family val="2"/>
      </rPr>
      <t xml:space="preserve">한화비전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티에스이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오로스테크놀로지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원익</t>
    </r>
    <r>
      <rPr>
        <sz val="11"/>
        <rFont val="Arial"/>
        <family val="0"/>
        <charset val="1"/>
      </rPr>
      <t xml:space="preserve">IPS, </t>
    </r>
    <r>
      <rPr>
        <sz val="11"/>
        <rFont val="Noto Sans CJK SC"/>
        <family val="2"/>
      </rPr>
      <t xml:space="preserve">주성엔지니어링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프로텍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케이씨텍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저스템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그린리소스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유니셈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테스</t>
    </r>
  </si>
  <si>
    <r>
      <rPr>
        <sz val="11"/>
        <rFont val="Arial"/>
        <family val="0"/>
        <charset val="1"/>
      </rPr>
      <t xml:space="preserve">ASML </t>
    </r>
    <r>
      <rPr>
        <sz val="11"/>
        <rFont val="Noto Sans CJK SC"/>
        <family val="2"/>
      </rPr>
      <t xml:space="preserve">홀딩</t>
    </r>
    <r>
      <rPr>
        <sz val="11"/>
        <rFont val="Arial"/>
        <family val="0"/>
        <charset val="1"/>
      </rPr>
      <t xml:space="preserve">(ADR), </t>
    </r>
    <r>
      <rPr>
        <sz val="11"/>
        <rFont val="Noto Sans CJK SC"/>
        <family val="2"/>
      </rPr>
      <t xml:space="preserve">램 리서치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어플라이드 머티어리얼즈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케이엘에이</t>
    </r>
  </si>
  <si>
    <t xml:space="preserve">도쿄일렉트론, 알박</t>
  </si>
  <si>
    <t xml:space="preserve">후공정</t>
  </si>
  <si>
    <t xml:space="preserve">한미반도체, 고영, 피에스케이홀딩스, 제너셈, 이오테크닉스, 한빛레이저, 디아이, 비아트론, 네오셈, 와이씨, 엑시콘, 테크윙</t>
  </si>
  <si>
    <t xml:space="preserve">테라다인, 캠텍, 온투 이노베이션</t>
  </si>
  <si>
    <t xml:space="preserve">어드밴테스트, 디스코, 레이져테크, 하마마쓰포토닉스</t>
  </si>
  <si>
    <t xml:space="preserve">OSAT</t>
  </si>
  <si>
    <t xml:space="preserve">하나마이크론, 두산테스나, SFA반도체, 네패스, LB세미콘</t>
  </si>
  <si>
    <r>
      <rPr>
        <sz val="11"/>
        <rFont val="Arial"/>
        <family val="0"/>
        <charset val="1"/>
      </rPr>
      <t xml:space="preserve">ASE </t>
    </r>
    <r>
      <rPr>
        <sz val="11"/>
        <rFont val="Noto Sans CJK SC"/>
        <family val="2"/>
      </rPr>
      <t xml:space="preserve">테크놀로지 홀딩</t>
    </r>
    <r>
      <rPr>
        <sz val="11"/>
        <rFont val="Arial"/>
        <family val="0"/>
        <charset val="1"/>
      </rPr>
      <t xml:space="preserve">(ADR), </t>
    </r>
    <r>
      <rPr>
        <sz val="11"/>
        <rFont val="Noto Sans CJK SC"/>
        <family val="2"/>
      </rPr>
      <t xml:space="preserve">앰코 테크놀로지</t>
    </r>
  </si>
  <si>
    <t xml:space="preserve">반도체소재</t>
  </si>
  <si>
    <r>
      <rPr>
        <sz val="11"/>
        <rFont val="Arial"/>
        <family val="0"/>
        <charset val="1"/>
      </rPr>
      <t xml:space="preserve">01-2 </t>
    </r>
    <r>
      <rPr>
        <sz val="11"/>
        <rFont val="Noto Sans CJK SC"/>
        <family val="2"/>
      </rPr>
      <t xml:space="preserve">반도체 소재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부품</t>
    </r>
  </si>
  <si>
    <t xml:space="preserve">리노공업, ISC, 비에이치, 서울반도체, 동진쎄미켐, 코미코, 티씨케이, 티에프이, 티이엠씨, 마이크로컨텍솔, 코스텍시스, 원익홀딩스</t>
  </si>
  <si>
    <t xml:space="preserve">큐니티 일렉트로닉스, 인테그리스</t>
  </si>
  <si>
    <t xml:space="preserve">아지노모토</t>
  </si>
  <si>
    <t xml:space="preserve">불화수소</t>
  </si>
  <si>
    <t xml:space="preserve">이엔에프테크놀로지, 솔브레인, 후성, 램테크놀러지</t>
  </si>
  <si>
    <t xml:space="preserve">스텔라케미파</t>
  </si>
  <si>
    <t xml:space="preserve">웨이퍼</t>
  </si>
  <si>
    <t xml:space="preserve">섬코, 신에츠화학</t>
  </si>
  <si>
    <t xml:space="preserve">포토레지스트</t>
  </si>
  <si>
    <t xml:space="preserve">미쓰이화학, 도쿄응화공업</t>
  </si>
  <si>
    <t xml:space="preserve">불화폴리이미드</t>
  </si>
  <si>
    <r>
      <rPr>
        <sz val="11"/>
        <rFont val="Arial"/>
        <family val="0"/>
        <charset val="1"/>
      </rPr>
      <t xml:space="preserve">PI</t>
    </r>
    <r>
      <rPr>
        <sz val="11"/>
        <rFont val="Noto Sans CJK SC"/>
        <family val="2"/>
      </rPr>
      <t xml:space="preserve">첨단소재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경인양행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코오롱인더</t>
    </r>
  </si>
  <si>
    <t xml:space="preserve">스미토모 화학, UBE, 도레이, 가네카</t>
  </si>
  <si>
    <t xml:space="preserve">FC-BGA PCB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</si>
  <si>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이노텍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심텍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대덕전자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코리아써키트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기가비스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이수페타시스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티엘비</t>
    </r>
  </si>
  <si>
    <r>
      <rPr>
        <sz val="11"/>
        <rFont val="Arial"/>
        <family val="0"/>
        <charset val="1"/>
      </rPr>
      <t xml:space="preserve">TTM </t>
    </r>
    <r>
      <rPr>
        <sz val="11"/>
        <rFont val="Noto Sans CJK SC"/>
        <family val="2"/>
      </rPr>
      <t xml:space="preserve">테크놀로지스</t>
    </r>
  </si>
  <si>
    <t xml:space="preserve">이비덴, 교세라</t>
  </si>
  <si>
    <t xml:space="preserve">유리기판 T-Glass</t>
  </si>
  <si>
    <r>
      <rPr>
        <sz val="11"/>
        <rFont val="Arial"/>
        <family val="0"/>
        <charset val="1"/>
      </rPr>
      <t xml:space="preserve">SKC, </t>
    </r>
    <r>
      <rPr>
        <sz val="11"/>
        <rFont val="Noto Sans CJK SC"/>
        <family val="2"/>
      </rPr>
      <t xml:space="preserve">태성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제이앤티씨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씨앤지하이테크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필옵틱스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켐트로닉스</t>
    </r>
  </si>
  <si>
    <t xml:space="preserve">니토방적, 유니치카</t>
  </si>
  <si>
    <t xml:space="preserve">전력반도체</t>
  </si>
  <si>
    <t xml:space="preserve">KEC</t>
  </si>
  <si>
    <t xml:space="preserve">텍사스 인스트루먼츠, 아날로그 디바이시스, 스카이웍스 솔루션스, 온 세미컨덕터, NXP 세미컨덕터스, 타워 세미컨덕터, 모놀리식 파워 시스템, ST 마이크로일렉트로닉스(ADR), 마이크로칩 테크놀로지</t>
  </si>
  <si>
    <t xml:space="preserve">롬, 후지 전기</t>
  </si>
  <si>
    <t xml:space="preserve">MLCC</t>
  </si>
  <si>
    <t xml:space="preserve">삼성전기, 삼화콘덴서, 아모텍, 한켐, 코칩</t>
  </si>
  <si>
    <t xml:space="preserve">비샤이 인터테크놀로지, 놀스, 로저스</t>
  </si>
  <si>
    <t xml:space="preserve">무라타 제작, 다이요유전</t>
  </si>
  <si>
    <t xml:space="preserve">합계</t>
  </si>
  <si>
    <t xml:space="preserve">시장별 탭 구성</t>
  </si>
  <si>
    <t xml:space="preserve">시장</t>
  </si>
  <si>
    <t xml:space="preserve">탭</t>
  </si>
  <si>
    <t xml:space="preserve">구간 범위</t>
  </si>
  <si>
    <t xml:space="preserve">종목 수</t>
  </si>
  <si>
    <t xml:space="preserve">제외 후보</t>
  </si>
  <si>
    <t xml:space="preserve">최종 예상</t>
  </si>
  <si>
    <r>
      <rPr>
        <b val="true"/>
        <sz val="11"/>
        <color rgb="FFFFFFFF"/>
        <rFont val="Arial"/>
        <family val="0"/>
        <charset val="1"/>
      </rPr>
      <t xml:space="preserve">CSV </t>
    </r>
    <r>
      <rPr>
        <b val="true"/>
        <sz val="11"/>
        <color rgb="FFFFFFFF"/>
        <rFont val="Noto Sans CJK SC"/>
        <family val="2"/>
      </rPr>
      <t xml:space="preserve">파일</t>
    </r>
  </si>
  <si>
    <t xml:space="preserve">팹리스 ~ OSAT (1~8)</t>
  </si>
  <si>
    <t xml:space="preserve">국장_01 반도체.csv</t>
  </si>
  <si>
    <t xml:space="preserve">반도체소재 ~ MLCC (9~17)</t>
  </si>
  <si>
    <t xml:space="preserve">국장_01-2 반도체 소재_부품.csv</t>
  </si>
  <si>
    <t xml:space="preserve">전체 (1~17)</t>
  </si>
  <si>
    <t xml:space="preserve">미장_01 반도체.csv</t>
  </si>
  <si>
    <t xml:space="preserve">일장_01 반도체.csv</t>
  </si>
  <si>
    <t xml:space="preserve">규칙</t>
  </si>
  <si>
    <t xml:space="preserve">• 표준화는 탭이 아니라 구간 이름과 순서 기준입니다. 종목이 없는 시장은 그 구간을 건너뜁니다.</t>
  </si>
  <si>
    <t xml:space="preserve">• 국장만 두 탭으로 나눕니다(OSAT | 반도체소재 경계). 미장·일장은 종목이 늘면 같은 경계에서 나눕니다.</t>
  </si>
  <si>
    <r>
      <rPr>
        <sz val="10"/>
        <rFont val="Arial"/>
        <family val="0"/>
        <charset val="1"/>
      </rPr>
      <t xml:space="preserve">• DSP</t>
    </r>
    <r>
      <rPr>
        <sz val="10"/>
        <rFont val="Noto Sans CJK SC"/>
        <family val="2"/>
      </rPr>
      <t xml:space="preserve">와 </t>
    </r>
    <r>
      <rPr>
        <sz val="10"/>
        <rFont val="Arial"/>
        <family val="0"/>
        <charset val="1"/>
      </rPr>
      <t xml:space="preserve">ASIC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"ASIC </t>
    </r>
    <r>
      <rPr>
        <sz val="10"/>
        <rFont val="Noto Sans CJK SC"/>
        <family val="2"/>
      </rPr>
      <t xml:space="preserve">디자인하우스</t>
    </r>
    <r>
      <rPr>
        <sz val="10"/>
        <rFont val="Arial"/>
        <family val="0"/>
        <charset val="1"/>
      </rPr>
      <t xml:space="preserve">" </t>
    </r>
    <r>
      <rPr>
        <sz val="10"/>
        <rFont val="Noto Sans CJK SC"/>
        <family val="2"/>
      </rPr>
      <t xml:space="preserve">한 구간으로 합쳤습니다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브로드컴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마벨 커스텀 </t>
    </r>
    <r>
      <rPr>
        <sz val="10"/>
        <rFont val="Arial"/>
        <family val="0"/>
        <charset val="1"/>
      </rPr>
      <t xml:space="preserve">ASIC ↔ </t>
    </r>
    <r>
      <rPr>
        <sz val="10"/>
        <rFont val="Noto Sans CJK SC"/>
        <family val="2"/>
      </rPr>
      <t xml:space="preserve">국장 디자인하우스 ↔ 소시오넥스트</t>
    </r>
    <r>
      <rPr>
        <sz val="10"/>
        <rFont val="Arial"/>
        <family val="0"/>
        <charset val="1"/>
      </rPr>
      <t xml:space="preserve">.</t>
    </r>
  </si>
  <si>
    <t xml:space="preserve">• 불화수소 구간 신설: 솔브레인, 이엔에프테크놀로지, 램테크놀러지 ↔ 스텔라케미파.</t>
  </si>
  <si>
    <t xml:space="preserve">• 신규 추가 종목(코아시아, 에이디테크놀로지, 램테크놀러지, TTM 테크놀로지스)은 키움에서 종목코드를 확인했습니다.</t>
  </si>
  <si>
    <t xml:space="preserve">• 상태 색: 노랑=구간 이동, 초록=추가, 주황=제외 후보, 회색=탭 밖 이동 (종목 목록 시트).</t>
  </si>
  <si>
    <t xml:space="preserve">구간 순서</t>
  </si>
  <si>
    <t xml:space="preserve">기존 구간(빈칸메모)</t>
  </si>
  <si>
    <t xml:space="preserve">종목명</t>
  </si>
  <si>
    <t xml:space="preserve">종목코드/티커</t>
  </si>
  <si>
    <t xml:space="preserve">영웅문 코드</t>
  </si>
  <si>
    <t xml:space="preserve">상태</t>
  </si>
  <si>
    <t xml:space="preserve">메모</t>
  </si>
  <si>
    <t xml:space="preserve">제주반도체</t>
  </si>
  <si>
    <t xml:space="preserve">080220</t>
  </si>
  <si>
    <t xml:space="preserve">유지</t>
  </si>
  <si>
    <t xml:space="preserve">칩스앤미디어</t>
  </si>
  <si>
    <t xml:space="preserve">094360</t>
  </si>
  <si>
    <t xml:space="preserve">엠디바이스</t>
  </si>
  <si>
    <t xml:space="preserve">226590</t>
  </si>
  <si>
    <t xml:space="preserve">파두</t>
  </si>
  <si>
    <t xml:space="preserve">440110</t>
  </si>
  <si>
    <t xml:space="preserve">사피엔반도체</t>
  </si>
  <si>
    <t xml:space="preserve">452430</t>
  </si>
  <si>
    <t xml:space="preserve">퀄리타스반도체</t>
  </si>
  <si>
    <t xml:space="preserve">432720</t>
  </si>
  <si>
    <r>
      <rPr>
        <sz val="11"/>
        <rFont val="Arial"/>
        <family val="0"/>
        <charset val="1"/>
      </rPr>
      <t xml:space="preserve">LX</t>
    </r>
    <r>
      <rPr>
        <sz val="11"/>
        <rFont val="Noto Sans CJK SC"/>
        <family val="2"/>
      </rPr>
      <t xml:space="preserve">세미콘</t>
    </r>
  </si>
  <si>
    <t xml:space="preserve">108320</t>
  </si>
  <si>
    <r>
      <rPr>
        <sz val="11"/>
        <rFont val="Arial"/>
        <family val="0"/>
        <charset val="1"/>
      </rPr>
      <t xml:space="preserve">DSP(</t>
    </r>
    <r>
      <rPr>
        <sz val="11"/>
        <rFont val="Noto Sans CJK SC"/>
        <family val="2"/>
      </rPr>
      <t xml:space="preserve">디자인하우스</t>
    </r>
    <r>
      <rPr>
        <sz val="11"/>
        <rFont val="Arial"/>
        <family val="0"/>
        <charset val="1"/>
      </rPr>
      <t xml:space="preserve">)</t>
    </r>
  </si>
  <si>
    <t xml:space="preserve">세미파이브</t>
  </si>
  <si>
    <t xml:space="preserve">490470</t>
  </si>
  <si>
    <t xml:space="preserve">가온칩스</t>
  </si>
  <si>
    <t xml:space="preserve">399720</t>
  </si>
  <si>
    <t xml:space="preserve">구간 이동</t>
  </si>
  <si>
    <t xml:space="preserve">팹리스가 아니라 디자인하우스(DSP/VCA)</t>
  </si>
  <si>
    <t xml:space="preserve">에이직랜드</t>
  </si>
  <si>
    <t xml:space="preserve">445090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</si>
  <si>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</si>
  <si>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코아시아</t>
  </si>
  <si>
    <t xml:space="preserve">045970</t>
  </si>
  <si>
    <t xml:space="preserve">추가</t>
  </si>
  <si>
    <t xml:space="preserve">삼성 파운드리 DSP, 신규 추가</t>
  </si>
  <si>
    <t xml:space="preserve">에이디테크놀로지</t>
  </si>
  <si>
    <t xml:space="preserve">200710</t>
  </si>
  <si>
    <t xml:space="preserve">삼성전자</t>
  </si>
  <si>
    <t xml:space="preserve">005930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</si>
  <si>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하이닉스</t>
    </r>
  </si>
  <si>
    <t xml:space="preserve">000660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</si>
  <si>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스퀘어</t>
    </r>
  </si>
  <si>
    <t xml:space="preserve">402340</t>
  </si>
  <si>
    <t xml:space="preserve">254490</t>
  </si>
  <si>
    <t xml:space="preserve">000990</t>
  </si>
  <si>
    <t xml:space="preserve">HPSP</t>
  </si>
  <si>
    <t xml:space="preserve">403870</t>
  </si>
  <si>
    <t xml:space="preserve">한화비전</t>
  </si>
  <si>
    <t xml:space="preserve">489790</t>
  </si>
  <si>
    <t xml:space="preserve">티에스이</t>
  </si>
  <si>
    <t xml:space="preserve">131290</t>
  </si>
  <si>
    <t xml:space="preserve">오로스테크놀로지</t>
  </si>
  <si>
    <t xml:space="preserve">322310</t>
  </si>
  <si>
    <t xml:space="preserve">원익IPS</t>
  </si>
  <si>
    <t xml:space="preserve">240810</t>
  </si>
  <si>
    <t xml:space="preserve">주성엔지니어링</t>
  </si>
  <si>
    <t xml:space="preserve">036930</t>
  </si>
  <si>
    <t xml:space="preserve">프로텍</t>
  </si>
  <si>
    <t xml:space="preserve">053610</t>
  </si>
  <si>
    <t xml:space="preserve">케이씨텍</t>
  </si>
  <si>
    <t xml:space="preserve">281820</t>
  </si>
  <si>
    <t xml:space="preserve">유리기판 관련주 (데이터센터 탭에서는 정리 예정)</t>
  </si>
  <si>
    <t xml:space="preserve">저스템</t>
  </si>
  <si>
    <t xml:space="preserve">417840</t>
  </si>
  <si>
    <t xml:space="preserve">그린리소스</t>
  </si>
  <si>
    <t xml:space="preserve">402490</t>
  </si>
  <si>
    <t xml:space="preserve">유니셈</t>
  </si>
  <si>
    <t xml:space="preserve">036200</t>
  </si>
  <si>
    <t xml:space="preserve">전력/아날로그/차량용 반도체</t>
  </si>
  <si>
    <t xml:space="preserve">테스</t>
  </si>
  <si>
    <t xml:space="preserve">095610</t>
  </si>
  <si>
    <t xml:space="preserve">증착장비 업체라 전공정으로 이동</t>
  </si>
  <si>
    <t xml:space="preserve">한미반도체</t>
  </si>
  <si>
    <t xml:space="preserve">042700</t>
  </si>
  <si>
    <t xml:space="preserve">고영</t>
  </si>
  <si>
    <t xml:space="preserve">098460</t>
  </si>
  <si>
    <t xml:space="preserve">피에스케이홀딩스</t>
  </si>
  <si>
    <t xml:space="preserve">031980</t>
  </si>
  <si>
    <t xml:space="preserve">제너셈</t>
  </si>
  <si>
    <t xml:space="preserve">217190</t>
  </si>
  <si>
    <t xml:space="preserve">이오테크닉스</t>
  </si>
  <si>
    <t xml:space="preserve">039030</t>
  </si>
  <si>
    <t xml:space="preserve">한빛레이저</t>
  </si>
  <si>
    <t xml:space="preserve">452190</t>
  </si>
  <si>
    <t xml:space="preserve">디아이</t>
  </si>
  <si>
    <t xml:space="preserve">003160</t>
  </si>
  <si>
    <t xml:space="preserve">비아트론</t>
  </si>
  <si>
    <t xml:space="preserve">141000</t>
  </si>
  <si>
    <t xml:space="preserve">네오셈</t>
  </si>
  <si>
    <t xml:space="preserve">253590</t>
  </si>
  <si>
    <t xml:space="preserve">와이씨</t>
  </si>
  <si>
    <t xml:space="preserve">232140</t>
  </si>
  <si>
    <t xml:space="preserve">엑시콘</t>
  </si>
  <si>
    <t xml:space="preserve">092870</t>
  </si>
  <si>
    <t xml:space="preserve">테크윙</t>
  </si>
  <si>
    <t xml:space="preserve">089030</t>
  </si>
  <si>
    <t xml:space="preserve">하나마이크론</t>
  </si>
  <si>
    <t xml:space="preserve">067310</t>
  </si>
  <si>
    <t xml:space="preserve">두산테스나</t>
  </si>
  <si>
    <t xml:space="preserve">131970</t>
  </si>
  <si>
    <r>
      <rPr>
        <sz val="11"/>
        <rFont val="Arial"/>
        <family val="0"/>
        <charset val="1"/>
      </rPr>
      <t xml:space="preserve">SFA</t>
    </r>
    <r>
      <rPr>
        <sz val="11"/>
        <rFont val="Noto Sans CJK SC"/>
        <family val="2"/>
      </rPr>
      <t xml:space="preserve">반도체</t>
    </r>
  </si>
  <si>
    <t xml:space="preserve">036540</t>
  </si>
  <si>
    <t xml:space="preserve">네패스</t>
  </si>
  <si>
    <t xml:space="preserve">033640</t>
  </si>
  <si>
    <r>
      <rPr>
        <sz val="11"/>
        <rFont val="Arial"/>
        <family val="0"/>
        <charset val="1"/>
      </rPr>
      <t xml:space="preserve">LB</t>
    </r>
    <r>
      <rPr>
        <sz val="11"/>
        <rFont val="Noto Sans CJK SC"/>
        <family val="2"/>
      </rPr>
      <t xml:space="preserve">세미콘</t>
    </r>
  </si>
  <si>
    <t xml:space="preserve">061970</t>
  </si>
  <si>
    <t xml:space="preserve">리노공업</t>
  </si>
  <si>
    <t xml:space="preserve">058470</t>
  </si>
  <si>
    <t xml:space="preserve">ISC</t>
  </si>
  <si>
    <t xml:space="preserve">095340</t>
  </si>
  <si>
    <t xml:space="preserve">비에이치</t>
  </si>
  <si>
    <t xml:space="preserve">090460</t>
  </si>
  <si>
    <t xml:space="preserve">연성회로기판(FPCB) 업체, 반도체 소재 아님</t>
  </si>
  <si>
    <t xml:space="preserve">서울반도체</t>
  </si>
  <si>
    <t xml:space="preserve">046890</t>
  </si>
  <si>
    <r>
      <rPr>
        <sz val="11"/>
        <rFont val="Arial"/>
        <family val="0"/>
        <charset val="1"/>
      </rPr>
      <t xml:space="preserve">LED </t>
    </r>
    <r>
      <rPr>
        <sz val="11"/>
        <rFont val="Noto Sans CJK SC"/>
        <family val="2"/>
      </rPr>
      <t xml:space="preserve">업체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반도체 소재 아님</t>
    </r>
  </si>
  <si>
    <t xml:space="preserve">동진쎄미켐</t>
  </si>
  <si>
    <t xml:space="preserve">005290</t>
  </si>
  <si>
    <t xml:space="preserve">코미코</t>
  </si>
  <si>
    <t xml:space="preserve">183300</t>
  </si>
  <si>
    <t xml:space="preserve">티씨케이</t>
  </si>
  <si>
    <t xml:space="preserve">064760</t>
  </si>
  <si>
    <t xml:space="preserve">티에프이</t>
  </si>
  <si>
    <t xml:space="preserve">425420</t>
  </si>
  <si>
    <t xml:space="preserve">티이엠씨</t>
  </si>
  <si>
    <t xml:space="preserve">425040</t>
  </si>
  <si>
    <t xml:space="preserve">마이크로컨텍솔</t>
  </si>
  <si>
    <t xml:space="preserve">098120</t>
  </si>
  <si>
    <t xml:space="preserve">코스텍시스</t>
  </si>
  <si>
    <t xml:space="preserve">355150</t>
  </si>
  <si>
    <t xml:space="preserve">원익홀딩스</t>
  </si>
  <si>
    <t xml:space="preserve">030530</t>
  </si>
  <si>
    <t xml:space="preserve">이엔에프테크놀로지</t>
  </si>
  <si>
    <t xml:space="preserve">102710</t>
  </si>
  <si>
    <t xml:space="preserve">불화수소(식각액) 구간 신설</t>
  </si>
  <si>
    <t xml:space="preserve">솔브레인</t>
  </si>
  <si>
    <t xml:space="preserve">357780</t>
  </si>
  <si>
    <t xml:space="preserve">후성</t>
  </si>
  <si>
    <t xml:space="preserve">093370</t>
  </si>
  <si>
    <t xml:space="preserve">불소화학 기반, 불화수소 테마 대표주 (2차전지 LiPF6는 06 탭에서 연결)</t>
  </si>
  <si>
    <t xml:space="preserve">램테크놀러지</t>
  </si>
  <si>
    <t xml:space="preserve">171010</t>
  </si>
  <si>
    <t xml:space="preserve">불화수소 식각액, 신규 추가</t>
  </si>
  <si>
    <r>
      <rPr>
        <sz val="11"/>
        <rFont val="Arial"/>
        <family val="0"/>
        <charset val="1"/>
      </rPr>
      <t xml:space="preserve">PI</t>
    </r>
    <r>
      <rPr>
        <sz val="11"/>
        <rFont val="Noto Sans CJK SC"/>
        <family val="2"/>
      </rPr>
      <t xml:space="preserve">첨단소재</t>
    </r>
  </si>
  <si>
    <t xml:space="preserve">178920</t>
  </si>
  <si>
    <t xml:space="preserve">경인양행</t>
  </si>
  <si>
    <t xml:space="preserve">012610</t>
  </si>
  <si>
    <t xml:space="preserve">코오롱인더</t>
  </si>
  <si>
    <t xml:space="preserve">120110</t>
  </si>
  <si>
    <t xml:space="preserve">FC-BGA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</si>
  <si>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이노텍</t>
    </r>
  </si>
  <si>
    <t xml:space="preserve">011070</t>
  </si>
  <si>
    <t xml:space="preserve">심텍</t>
  </si>
  <si>
    <t xml:space="preserve">222800</t>
  </si>
  <si>
    <t xml:space="preserve">대덕전자</t>
  </si>
  <si>
    <t xml:space="preserve">353200</t>
  </si>
  <si>
    <t xml:space="preserve">코리아써키트</t>
  </si>
  <si>
    <t xml:space="preserve">007810</t>
  </si>
  <si>
    <t xml:space="preserve">기가비스</t>
  </si>
  <si>
    <t xml:space="preserve">420770</t>
  </si>
  <si>
    <t xml:space="preserve">이수페타시스</t>
  </si>
  <si>
    <t xml:space="preserve">007660</t>
  </si>
  <si>
    <t xml:space="preserve">티엘비</t>
  </si>
  <si>
    <t xml:space="preserve">356860</t>
  </si>
  <si>
    <r>
      <rPr>
        <sz val="11"/>
        <rFont val="Arial"/>
        <family val="0"/>
        <charset val="1"/>
      </rPr>
      <t xml:space="preserve">PCB </t>
    </r>
    <r>
      <rPr>
        <sz val="11"/>
        <rFont val="Noto Sans CJK SC"/>
        <family val="2"/>
      </rPr>
      <t xml:space="preserve">업체라 </t>
    </r>
    <r>
      <rPr>
        <sz val="11"/>
        <rFont val="Arial"/>
        <family val="0"/>
        <charset val="1"/>
      </rPr>
      <t xml:space="preserve">FC-BGA PCB</t>
    </r>
    <r>
      <rPr>
        <sz val="11"/>
        <rFont val="Noto Sans CJK SC"/>
        <family val="2"/>
      </rPr>
      <t xml:space="preserve">로 이동</t>
    </r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</si>
  <si>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데이터센터</t>
    </r>
    <r>
      <rPr>
        <sz val="11"/>
        <rFont val="Arial"/>
        <family val="0"/>
        <charset val="1"/>
      </rPr>
      <t xml:space="preserve">) </t>
    </r>
    <r>
      <rPr>
        <sz val="11"/>
        <rFont val="Noto Sans CJK SC"/>
        <family val="2"/>
      </rPr>
      <t xml:space="preserve">유리기판</t>
    </r>
  </si>
  <si>
    <t xml:space="preserve">SKC</t>
  </si>
  <si>
    <t xml:space="preserve">011790</t>
  </si>
  <si>
    <t xml:space="preserve">데이터센터 탭에서 이동</t>
  </si>
  <si>
    <t xml:space="preserve">태성</t>
  </si>
  <si>
    <t xml:space="preserve">323280</t>
  </si>
  <si>
    <t xml:space="preserve">제이앤티씨</t>
  </si>
  <si>
    <t xml:space="preserve">204270</t>
  </si>
  <si>
    <t xml:space="preserve">씨앤지하이테크</t>
  </si>
  <si>
    <t xml:space="preserve">264660</t>
  </si>
  <si>
    <t xml:space="preserve">필옵틱스</t>
  </si>
  <si>
    <t xml:space="preserve">161580</t>
  </si>
  <si>
    <t xml:space="preserve">켐트로닉스</t>
  </si>
  <si>
    <t xml:space="preserve">089010</t>
  </si>
  <si>
    <t xml:space="preserve">092220</t>
  </si>
  <si>
    <t xml:space="preserve">삼성전기</t>
  </si>
  <si>
    <t xml:space="preserve">009150</t>
  </si>
  <si>
    <t xml:space="preserve">삼화콘덴서</t>
  </si>
  <si>
    <t xml:space="preserve">001820</t>
  </si>
  <si>
    <t xml:space="preserve">아모텍</t>
  </si>
  <si>
    <t xml:space="preserve">052710</t>
  </si>
  <si>
    <t xml:space="preserve">한켐</t>
  </si>
  <si>
    <t xml:space="preserve">457370</t>
  </si>
  <si>
    <t xml:space="preserve">코칩</t>
  </si>
  <si>
    <t xml:space="preserve">126730</t>
  </si>
  <si>
    <t xml:space="preserve">펩리스</t>
  </si>
  <si>
    <t xml:space="preserve">엔비디아</t>
  </si>
  <si>
    <t xml:space="preserve">NVDA</t>
  </si>
  <si>
    <t xml:space="preserve">NDNVDA</t>
  </si>
  <si>
    <t xml:space="preserve">AMD</t>
  </si>
  <si>
    <t xml:space="preserve">NDAMD</t>
  </si>
  <si>
    <t xml:space="preserve">에이알엠 홀딩스(ADR)</t>
  </si>
  <si>
    <t xml:space="preserve">ARM</t>
  </si>
  <si>
    <t xml:space="preserve">NDARM</t>
  </si>
  <si>
    <t xml:space="preserve">퀄컴</t>
  </si>
  <si>
    <t xml:space="preserve">QCOM</t>
  </si>
  <si>
    <t xml:space="preserve">NDQCOM</t>
  </si>
  <si>
    <t xml:space="preserve">시놉시스</t>
  </si>
  <si>
    <t xml:space="preserve">SNPS</t>
  </si>
  <si>
    <t xml:space="preserve">NDSNPS</t>
  </si>
  <si>
    <t xml:space="preserve">케이던스 디자인 시스템즈</t>
  </si>
  <si>
    <t xml:space="preserve">CDNS</t>
  </si>
  <si>
    <t xml:space="preserve">NDCDNS</t>
  </si>
  <si>
    <t xml:space="preserve">램버스</t>
  </si>
  <si>
    <t xml:space="preserve">RMBS</t>
  </si>
  <si>
    <t xml:space="preserve">NDRMBS</t>
  </si>
  <si>
    <t xml:space="preserve">ASIC</t>
  </si>
  <si>
    <t xml:space="preserve">세레브라스 시스템즈</t>
  </si>
  <si>
    <t xml:space="preserve">CBRS</t>
  </si>
  <si>
    <t xml:space="preserve">NDCBRS</t>
  </si>
  <si>
    <t xml:space="preserve">자체 AI 칩 설계·판매 → 팹리스</t>
  </si>
  <si>
    <t xml:space="preserve">브로드컴</t>
  </si>
  <si>
    <t xml:space="preserve">AVGO</t>
  </si>
  <si>
    <t xml:space="preserve">NDAVGO</t>
  </si>
  <si>
    <t xml:space="preserve">커스텀 ASIC, 국장 디자인하우스와 연결</t>
  </si>
  <si>
    <t xml:space="preserve">마벨 테크놀로지 그룹</t>
  </si>
  <si>
    <t xml:space="preserve">MRVL</t>
  </si>
  <si>
    <t xml:space="preserve">NDMRVL</t>
  </si>
  <si>
    <t xml:space="preserve">마이크론 테크놀로지</t>
  </si>
  <si>
    <t xml:space="preserve">MU</t>
  </si>
  <si>
    <t xml:space="preserve">NDMU</t>
  </si>
  <si>
    <t xml:space="preserve">샌디스크</t>
  </si>
  <si>
    <t xml:space="preserve">SNDK</t>
  </si>
  <si>
    <t xml:space="preserve">NDSNDK</t>
  </si>
  <si>
    <t xml:space="preserve">웨스턴 디지털</t>
  </si>
  <si>
    <t xml:space="preserve">WDC</t>
  </si>
  <si>
    <t xml:space="preserve">NDWDC</t>
  </si>
  <si>
    <t xml:space="preserve">TSMC(ADR)</t>
  </si>
  <si>
    <t xml:space="preserve">TSM</t>
  </si>
  <si>
    <t xml:space="preserve">NYTSM</t>
  </si>
  <si>
    <t xml:space="preserve">글로벌파운드리스</t>
  </si>
  <si>
    <t xml:space="preserve">GFS</t>
  </si>
  <si>
    <t xml:space="preserve">NDGFS</t>
  </si>
  <si>
    <t xml:space="preserve">인텔</t>
  </si>
  <si>
    <t xml:space="preserve">INTC</t>
  </si>
  <si>
    <t xml:space="preserve">NDINTC</t>
  </si>
  <si>
    <t xml:space="preserve">유엠씨(ADS)</t>
  </si>
  <si>
    <t xml:space="preserve">UMC</t>
  </si>
  <si>
    <t xml:space="preserve">NYUMC</t>
  </si>
  <si>
    <r>
      <rPr>
        <sz val="11"/>
        <rFont val="Arial"/>
        <family val="0"/>
        <charset val="1"/>
      </rPr>
      <t xml:space="preserve">ASML </t>
    </r>
    <r>
      <rPr>
        <sz val="11"/>
        <rFont val="Noto Sans CJK SC"/>
        <family val="2"/>
      </rPr>
      <t xml:space="preserve">홀딩</t>
    </r>
    <r>
      <rPr>
        <sz val="11"/>
        <rFont val="Arial"/>
        <family val="0"/>
        <charset val="1"/>
      </rPr>
      <t xml:space="preserve">(ADR)</t>
    </r>
  </si>
  <si>
    <t xml:space="preserve">ASML</t>
  </si>
  <si>
    <t xml:space="preserve">NDASML</t>
  </si>
  <si>
    <t xml:space="preserve">램 리서치</t>
  </si>
  <si>
    <t xml:space="preserve">LRCX</t>
  </si>
  <si>
    <t xml:space="preserve">NDLRCX</t>
  </si>
  <si>
    <t xml:space="preserve">어플라이드 머티어리얼즈</t>
  </si>
  <si>
    <t xml:space="preserve">AMAT</t>
  </si>
  <si>
    <t xml:space="preserve">NDAMAT</t>
  </si>
  <si>
    <t xml:space="preserve">케이엘에이</t>
  </si>
  <si>
    <t xml:space="preserve">KLAC</t>
  </si>
  <si>
    <t xml:space="preserve">NDKLAC</t>
  </si>
  <si>
    <t xml:space="preserve">테라다인</t>
  </si>
  <si>
    <t xml:space="preserve">TER</t>
  </si>
  <si>
    <t xml:space="preserve">NDTER</t>
  </si>
  <si>
    <t xml:space="preserve">캠텍</t>
  </si>
  <si>
    <t xml:space="preserve">CAMT</t>
  </si>
  <si>
    <t xml:space="preserve">NDCAMT</t>
  </si>
  <si>
    <t xml:space="preserve">온투 이노베이션</t>
  </si>
  <si>
    <t xml:space="preserve">ONTO</t>
  </si>
  <si>
    <t xml:space="preserve">NYONTO</t>
  </si>
  <si>
    <r>
      <rPr>
        <sz val="11"/>
        <rFont val="Arial"/>
        <family val="0"/>
        <charset val="1"/>
      </rPr>
      <t xml:space="preserve">ASE </t>
    </r>
    <r>
      <rPr>
        <sz val="11"/>
        <rFont val="Noto Sans CJK SC"/>
        <family val="2"/>
      </rPr>
      <t xml:space="preserve">테크놀로지 홀딩</t>
    </r>
    <r>
      <rPr>
        <sz val="11"/>
        <rFont val="Arial"/>
        <family val="0"/>
        <charset val="1"/>
      </rPr>
      <t xml:space="preserve">(ADR)</t>
    </r>
  </si>
  <si>
    <t xml:space="preserve">ASX</t>
  </si>
  <si>
    <t xml:space="preserve">NYASX</t>
  </si>
  <si>
    <t xml:space="preserve">앰코 테크놀로지</t>
  </si>
  <si>
    <t xml:space="preserve">AMKR</t>
  </si>
  <si>
    <t xml:space="preserve">NDAMKR</t>
  </si>
  <si>
    <t xml:space="preserve">큐니티 일렉트로닉스</t>
  </si>
  <si>
    <t xml:space="preserve">Q</t>
  </si>
  <si>
    <t xml:space="preserve">NYQ</t>
  </si>
  <si>
    <t xml:space="preserve">인테그리스</t>
  </si>
  <si>
    <t xml:space="preserve">ENTG</t>
  </si>
  <si>
    <t xml:space="preserve">NDENTG</t>
  </si>
  <si>
    <r>
      <rPr>
        <sz val="11"/>
        <rFont val="Arial"/>
        <family val="0"/>
        <charset val="1"/>
      </rPr>
      <t xml:space="preserve">FC-BGA/ AI </t>
    </r>
    <r>
      <rPr>
        <sz val="11"/>
        <rFont val="Noto Sans CJK SC"/>
        <family val="2"/>
      </rPr>
      <t xml:space="preserve">서버 </t>
    </r>
    <r>
      <rPr>
        <sz val="11"/>
        <rFont val="Arial"/>
        <family val="0"/>
        <charset val="1"/>
      </rPr>
      <t xml:space="preserve">PCB</t>
    </r>
  </si>
  <si>
    <t xml:space="preserve">아리스타 네트웍스</t>
  </si>
  <si>
    <t xml:space="preserve">ANET</t>
  </si>
  <si>
    <t xml:space="preserve">NYANET</t>
  </si>
  <si>
    <t xml:space="preserve">탭 밖 이동</t>
  </si>
  <si>
    <t xml:space="preserve">네트워크 스위치 업체 → 02 데이터센터·통신 (이수페타시스와 고객사 연결)</t>
  </si>
  <si>
    <t xml:space="preserve">TTMI</t>
  </si>
  <si>
    <t xml:space="preserve">NDTTMI</t>
  </si>
  <si>
    <t xml:space="preserve">미국 PCB, 이수페타시스·대덕전자 짝 (CSV 반영 완료)</t>
  </si>
  <si>
    <t xml:space="preserve">텍사스 인스트루먼츠</t>
  </si>
  <si>
    <t xml:space="preserve">TXN</t>
  </si>
  <si>
    <t xml:space="preserve">NDTXN</t>
  </si>
  <si>
    <t xml:space="preserve">아날로그 디바이시스</t>
  </si>
  <si>
    <t xml:space="preserve">ADI</t>
  </si>
  <si>
    <t xml:space="preserve">NDADI</t>
  </si>
  <si>
    <t xml:space="preserve">스카이웍스 솔루션스</t>
  </si>
  <si>
    <t xml:space="preserve">SWKS</t>
  </si>
  <si>
    <t xml:space="preserve">NDSWKS</t>
  </si>
  <si>
    <t xml:space="preserve">온 세미컨덕터</t>
  </si>
  <si>
    <t xml:space="preserve">ON</t>
  </si>
  <si>
    <t xml:space="preserve">NDON</t>
  </si>
  <si>
    <r>
      <rPr>
        <sz val="11"/>
        <rFont val="Arial"/>
        <family val="0"/>
        <charset val="1"/>
      </rPr>
      <t xml:space="preserve">NXP </t>
    </r>
    <r>
      <rPr>
        <sz val="11"/>
        <rFont val="Noto Sans CJK SC"/>
        <family val="2"/>
      </rPr>
      <t xml:space="preserve">세미컨덕터스</t>
    </r>
  </si>
  <si>
    <t xml:space="preserve">NXPI</t>
  </si>
  <si>
    <t xml:space="preserve">NDNXPI</t>
  </si>
  <si>
    <t xml:space="preserve">타워 세미컨덕터</t>
  </si>
  <si>
    <t xml:space="preserve">TSEM</t>
  </si>
  <si>
    <t xml:space="preserve">NDTSEM</t>
  </si>
  <si>
    <t xml:space="preserve">모놀리식 파워 시스템</t>
  </si>
  <si>
    <t xml:space="preserve">MPWR</t>
  </si>
  <si>
    <t xml:space="preserve">NDMPWR</t>
  </si>
  <si>
    <r>
      <rPr>
        <sz val="11"/>
        <rFont val="Arial"/>
        <family val="0"/>
        <charset val="1"/>
      </rPr>
      <t xml:space="preserve">ST </t>
    </r>
    <r>
      <rPr>
        <sz val="11"/>
        <rFont val="Noto Sans CJK SC"/>
        <family val="2"/>
      </rPr>
      <t xml:space="preserve">마이크로일렉트로닉스</t>
    </r>
    <r>
      <rPr>
        <sz val="11"/>
        <rFont val="Arial"/>
        <family val="0"/>
        <charset val="1"/>
      </rPr>
      <t xml:space="preserve">(ADR)</t>
    </r>
  </si>
  <si>
    <t xml:space="preserve">STM</t>
  </si>
  <si>
    <t xml:space="preserve">NYSTM</t>
  </si>
  <si>
    <t xml:space="preserve">마이크로칩 테크놀로지</t>
  </si>
  <si>
    <t xml:space="preserve">MCHP</t>
  </si>
  <si>
    <t xml:space="preserve">NDMCHP</t>
  </si>
  <si>
    <t xml:space="preserve">비샤이 인터테크놀로지</t>
  </si>
  <si>
    <t xml:space="preserve">VSH</t>
  </si>
  <si>
    <t xml:space="preserve">NYVSH</t>
  </si>
  <si>
    <t xml:space="preserve">놀스</t>
  </si>
  <si>
    <t xml:space="preserve">KN</t>
  </si>
  <si>
    <t xml:space="preserve">NYKN</t>
  </si>
  <si>
    <t xml:space="preserve">로저스</t>
  </si>
  <si>
    <t xml:space="preserve">ROG</t>
  </si>
  <si>
    <t xml:space="preserve">NYROG</t>
  </si>
  <si>
    <t xml:space="preserve">06526</t>
  </si>
  <si>
    <t xml:space="preserve">W06526</t>
  </si>
  <si>
    <t xml:space="preserve">커스텀 SoC 설계 → ASIC 디자인하우스</t>
  </si>
  <si>
    <t xml:space="preserve">0285A</t>
  </si>
  <si>
    <t xml:space="preserve">W0285A</t>
  </si>
  <si>
    <t xml:space="preserve">도쿄일렉트론</t>
  </si>
  <si>
    <t xml:space="preserve">08035</t>
  </si>
  <si>
    <t xml:space="preserve">W08035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</si>
  <si>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일본 테마</t>
    </r>
    <r>
      <rPr>
        <sz val="11"/>
        <rFont val="Arial"/>
        <family val="0"/>
        <charset val="1"/>
      </rPr>
      <t xml:space="preserve">)</t>
    </r>
  </si>
  <si>
    <t xml:space="preserve">알박</t>
  </si>
  <si>
    <t xml:space="preserve">06728</t>
  </si>
  <si>
    <t xml:space="preserve">W06728</t>
  </si>
  <si>
    <t xml:space="preserve">일본 테마 탭에서 이동 (진공·증착 장비)</t>
  </si>
  <si>
    <t xml:space="preserve">어드밴테스트</t>
  </si>
  <si>
    <t xml:space="preserve">06857</t>
  </si>
  <si>
    <t xml:space="preserve">W06857</t>
  </si>
  <si>
    <t xml:space="preserve">디스코</t>
  </si>
  <si>
    <t xml:space="preserve">06146</t>
  </si>
  <si>
    <t xml:space="preserve">W06146</t>
  </si>
  <si>
    <t xml:space="preserve">레이져테크</t>
  </si>
  <si>
    <t xml:space="preserve">06920</t>
  </si>
  <si>
    <t xml:space="preserve">W06920</t>
  </si>
  <si>
    <t xml:space="preserve">02802</t>
  </si>
  <si>
    <t xml:space="preserve">W02802</t>
  </si>
  <si>
    <t xml:space="preserve">04109</t>
  </si>
  <si>
    <t xml:space="preserve">W04109</t>
  </si>
  <si>
    <t xml:space="preserve">고순도 불화수소</t>
  </si>
  <si>
    <t xml:space="preserve">섬코</t>
  </si>
  <si>
    <t xml:space="preserve">03436</t>
  </si>
  <si>
    <t xml:space="preserve">W03436</t>
  </si>
  <si>
    <t xml:space="preserve">신에츠화학</t>
  </si>
  <si>
    <t xml:space="preserve">04063</t>
  </si>
  <si>
    <t xml:space="preserve">W04063</t>
  </si>
  <si>
    <t xml:space="preserve">미쓰이화학</t>
  </si>
  <si>
    <t xml:space="preserve">04183</t>
  </si>
  <si>
    <t xml:space="preserve">W04183</t>
  </si>
  <si>
    <t xml:space="preserve">도쿄응화공업</t>
  </si>
  <si>
    <t xml:space="preserve">04186</t>
  </si>
  <si>
    <t xml:space="preserve">W04186</t>
  </si>
  <si>
    <t xml:space="preserve">스미토모 화학</t>
  </si>
  <si>
    <t xml:space="preserve">04005</t>
  </si>
  <si>
    <t xml:space="preserve">W04005</t>
  </si>
  <si>
    <t xml:space="preserve">UBE</t>
  </si>
  <si>
    <t xml:space="preserve">04208</t>
  </si>
  <si>
    <t xml:space="preserve">W04208</t>
  </si>
  <si>
    <t xml:space="preserve">도레이</t>
  </si>
  <si>
    <t xml:space="preserve">03402</t>
  </si>
  <si>
    <t xml:space="preserve">W03402</t>
  </si>
  <si>
    <t xml:space="preserve">가네카</t>
  </si>
  <si>
    <t xml:space="preserve">04118</t>
  </si>
  <si>
    <t xml:space="preserve">W04118</t>
  </si>
  <si>
    <t xml:space="preserve">이비덴</t>
  </si>
  <si>
    <t xml:space="preserve">04062</t>
  </si>
  <si>
    <t xml:space="preserve">W04062</t>
  </si>
  <si>
    <t xml:space="preserve">T-Glass</t>
  </si>
  <si>
    <t xml:space="preserve">니토방적</t>
  </si>
  <si>
    <t xml:space="preserve">03110</t>
  </si>
  <si>
    <t xml:space="preserve">W03110</t>
  </si>
  <si>
    <t xml:space="preserve">유니치카</t>
  </si>
  <si>
    <t xml:space="preserve">03103</t>
  </si>
  <si>
    <t xml:space="preserve">W03103</t>
  </si>
  <si>
    <t xml:space="preserve">롬</t>
  </si>
  <si>
    <t xml:space="preserve">06963</t>
  </si>
  <si>
    <t xml:space="preserve">W06963</t>
  </si>
  <si>
    <t xml:space="preserve">후지 전기</t>
  </si>
  <si>
    <t xml:space="preserve">06504</t>
  </si>
  <si>
    <t xml:space="preserve">W06504</t>
  </si>
  <si>
    <t xml:space="preserve">무라타 제작</t>
  </si>
  <si>
    <t xml:space="preserve">06981</t>
  </si>
  <si>
    <t xml:space="preserve">W06981</t>
  </si>
  <si>
    <t xml:space="preserve">일본 섹터별 종목 탭과 중복</t>
  </si>
  <si>
    <t xml:space="preserve">다이요유전</t>
  </si>
  <si>
    <t xml:space="preserve">06976</t>
  </si>
  <si>
    <t xml:space="preserve">W06976</t>
  </si>
  <si>
    <r>
      <rPr>
        <sz val="11"/>
        <rFont val="Noto Sans CJK SC"/>
        <family val="2"/>
      </rPr>
      <t xml:space="preserve">일본 섹터별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방산부품</t>
    </r>
  </si>
  <si>
    <t xml:space="preserve">교세라</t>
  </si>
  <si>
    <t xml:space="preserve">06971</t>
  </si>
  <si>
    <t xml:space="preserve">W06971</t>
  </si>
  <si>
    <r>
      <rPr>
        <sz val="11"/>
        <rFont val="Noto Sans CJK SC"/>
        <family val="2"/>
      </rPr>
      <t xml:space="preserve">세라믹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유기 반도체 패키지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이비덴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삼성전기 짝</t>
    </r>
    <r>
      <rPr>
        <sz val="11"/>
        <rFont val="Arial"/>
        <family val="0"/>
        <charset val="1"/>
      </rPr>
      <t xml:space="preserve">, 04 </t>
    </r>
    <r>
      <rPr>
        <sz val="11"/>
        <rFont val="Noto Sans CJK SC"/>
        <family val="2"/>
      </rPr>
      <t xml:space="preserve">방산에서 이동</t>
    </r>
  </si>
  <si>
    <t xml:space="preserve">하마마쓰포토닉스</t>
  </si>
  <si>
    <t xml:space="preserve">06965</t>
  </si>
  <si>
    <t xml:space="preserve">W06965</t>
  </si>
  <si>
    <r>
      <rPr>
        <sz val="11"/>
        <rFont val="Noto Sans CJK SC"/>
        <family val="2"/>
      </rPr>
      <t xml:space="preserve">반도체 검사장비용 광센서</t>
    </r>
    <r>
      <rPr>
        <sz val="11"/>
        <rFont val="Arial"/>
        <family val="0"/>
        <charset val="1"/>
      </rPr>
      <t xml:space="preserve">, 04 </t>
    </r>
    <r>
      <rPr>
        <sz val="11"/>
        <rFont val="Noto Sans CJK SC"/>
        <family val="2"/>
      </rPr>
      <t xml:space="preserve">방산에서 이동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</si>
</sst>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  <charset val="1"/>
    </font>
    <font>
      <sz val="11"/>
      <name val="Noto Sans CJK SC"/>
      <family val="2"/>
    </font>
    <font>
      <b val="true"/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medium">
        <color rgb="FF1F3A5F"/>
      </top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ont>
        <name val="Arial"/>
        <charset val="1"/>
        <family val="0"/>
        <color rgb="FFBBBBB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CE4D6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0"/>
    <col collapsed="false" customWidth="true" hidden="false" outlineLevel="0" max="6" min="4" style="1" width="7"/>
    <col collapsed="false" customWidth="true" hidden="false" outlineLevel="0" max="7" min="7" style="1" width="48"/>
    <col collapsed="false" customWidth="true" hidden="false" outlineLevel="0" max="8" min="8" style="1" width="40"/>
    <col collapsed="false" customWidth="true" hidden="false" outlineLevel="0" max="9" min="9" style="1" width="34"/>
  </cols>
  <sheetData>
    <row r="1" customFormat="false" ht="21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48" hidden="false" customHeight="true" outlineLevel="0" collapsed="false">
      <c r="A5" s="5" t="n">
        <v>1</v>
      </c>
      <c r="B5" s="6" t="s">
        <v>11</v>
      </c>
      <c r="C5" s="7" t="s">
        <v>12</v>
      </c>
      <c r="D5" s="8" t="n">
        <f aca="false">COUNTIFS('종목 목록'!$A$2:$A$153,"국장",'종목 목록'!$D$2:$D$153,$B5,'종목 목록'!$I$2:$I$153,"&lt;&gt;탭 밖 이동")</f>
        <v>7</v>
      </c>
      <c r="E5" s="8" t="n">
        <f aca="false">COUNTIFS('종목 목록'!$A$2:$A$153,"미장",'종목 목록'!$D$2:$D$153,$B5,'종목 목록'!$I$2:$I$153,"&lt;&gt;탭 밖 이동")</f>
        <v>8</v>
      </c>
      <c r="F5" s="8" t="n">
        <f aca="false">COUNTIFS('종목 목록'!$A$2:$A$153,"일장",'종목 목록'!$D$2:$D$153,$B5,'종목 목록'!$I$2:$I$153,"&lt;&gt;탭 밖 이동")</f>
        <v>0</v>
      </c>
      <c r="G5" s="9" t="s">
        <v>13</v>
      </c>
      <c r="H5" s="9" t="s">
        <v>14</v>
      </c>
      <c r="I5" s="10" t="s">
        <v>15</v>
      </c>
    </row>
    <row r="6" customFormat="false" ht="32.25" hidden="false" customHeight="true" outlineLevel="0" collapsed="false">
      <c r="A6" s="5" t="n">
        <v>2</v>
      </c>
      <c r="B6" s="7" t="s">
        <v>16</v>
      </c>
      <c r="C6" s="7" t="s">
        <v>12</v>
      </c>
      <c r="D6" s="8" t="n">
        <f aca="false">COUNTIFS('종목 목록'!$A$2:$A$153,"국장",'종목 목록'!$D$2:$D$153,$B6,'종목 목록'!$I$2:$I$153,"&lt;&gt;탭 밖 이동")</f>
        <v>5</v>
      </c>
      <c r="E6" s="8" t="n">
        <f aca="false">COUNTIFS('종목 목록'!$A$2:$A$153,"미장",'종목 목록'!$D$2:$D$153,$B6,'종목 목록'!$I$2:$I$153,"&lt;&gt;탭 밖 이동")</f>
        <v>2</v>
      </c>
      <c r="F6" s="8" t="n">
        <f aca="false">COUNTIFS('종목 목록'!$A$2:$A$153,"일장",'종목 목록'!$D$2:$D$153,$B6,'종목 목록'!$I$2:$I$153,"&lt;&gt;탭 밖 이동")</f>
        <v>1</v>
      </c>
      <c r="G6" s="9" t="s">
        <v>17</v>
      </c>
      <c r="H6" s="9" t="s">
        <v>18</v>
      </c>
      <c r="I6" s="9" t="s">
        <v>19</v>
      </c>
    </row>
    <row r="7" customFormat="false" ht="32.25" hidden="false" customHeight="true" outlineLevel="0" collapsed="false">
      <c r="A7" s="5" t="n">
        <v>3</v>
      </c>
      <c r="B7" s="6" t="s">
        <v>20</v>
      </c>
      <c r="C7" s="7" t="s">
        <v>12</v>
      </c>
      <c r="D7" s="8" t="n">
        <f aca="false">COUNTIFS('종목 목록'!$A$2:$A$153,"국장",'종목 목록'!$D$2:$D$153,$B7,'종목 목록'!$I$2:$I$153,"&lt;&gt;탭 밖 이동")</f>
        <v>3</v>
      </c>
      <c r="E7" s="8" t="n">
        <f aca="false">COUNTIFS('종목 목록'!$A$2:$A$153,"미장",'종목 목록'!$D$2:$D$153,$B7,'종목 목록'!$I$2:$I$153,"&lt;&gt;탭 밖 이동")</f>
        <v>3</v>
      </c>
      <c r="F7" s="8" t="n">
        <f aca="false">COUNTIFS('종목 목록'!$A$2:$A$153,"일장",'종목 목록'!$D$2:$D$153,$B7,'종목 목록'!$I$2:$I$153,"&lt;&gt;탭 밖 이동")</f>
        <v>1</v>
      </c>
      <c r="G7" s="9" t="s">
        <v>21</v>
      </c>
      <c r="H7" s="9" t="s">
        <v>22</v>
      </c>
      <c r="I7" s="9" t="s">
        <v>23</v>
      </c>
    </row>
    <row r="8" customFormat="false" ht="16.5" hidden="false" customHeight="true" outlineLevel="0" collapsed="false">
      <c r="A8" s="5" t="n">
        <v>4</v>
      </c>
      <c r="B8" s="6" t="s">
        <v>24</v>
      </c>
      <c r="C8" s="7" t="s">
        <v>12</v>
      </c>
      <c r="D8" s="8" t="n">
        <f aca="false">COUNTIFS('종목 목록'!$A$2:$A$153,"국장",'종목 목록'!$D$2:$D$153,$B8,'종목 목록'!$I$2:$I$153,"&lt;&gt;탭 밖 이동")</f>
        <v>1</v>
      </c>
      <c r="E8" s="8" t="n">
        <f aca="false">COUNTIFS('종목 목록'!$A$2:$A$153,"미장",'종목 목록'!$D$2:$D$153,$B8,'종목 목록'!$I$2:$I$153,"&lt;&gt;탭 밖 이동")</f>
        <v>0</v>
      </c>
      <c r="F8" s="8" t="n">
        <f aca="false">COUNTIFS('종목 목록'!$A$2:$A$153,"일장",'종목 목록'!$D$2:$D$153,$B8,'종목 목록'!$I$2:$I$153,"&lt;&gt;탭 밖 이동")</f>
        <v>0</v>
      </c>
      <c r="G8" s="9" t="s">
        <v>25</v>
      </c>
      <c r="H8" s="10" t="s">
        <v>15</v>
      </c>
      <c r="I8" s="10" t="s">
        <v>15</v>
      </c>
    </row>
    <row r="9" customFormat="false" ht="32.25" hidden="false" customHeight="true" outlineLevel="0" collapsed="false">
      <c r="A9" s="5" t="n">
        <v>5</v>
      </c>
      <c r="B9" s="6" t="s">
        <v>26</v>
      </c>
      <c r="C9" s="7" t="s">
        <v>12</v>
      </c>
      <c r="D9" s="8" t="n">
        <f aca="false">COUNTIFS('종목 목록'!$A$2:$A$153,"국장",'종목 목록'!$D$2:$D$153,$B9,'종목 목록'!$I$2:$I$153,"&lt;&gt;탭 밖 이동")</f>
        <v>1</v>
      </c>
      <c r="E9" s="8" t="n">
        <f aca="false">COUNTIFS('종목 목록'!$A$2:$A$153,"미장",'종목 목록'!$D$2:$D$153,$B9,'종목 목록'!$I$2:$I$153,"&lt;&gt;탭 밖 이동")</f>
        <v>4</v>
      </c>
      <c r="F9" s="8" t="n">
        <f aca="false">COUNTIFS('종목 목록'!$A$2:$A$153,"일장",'종목 목록'!$D$2:$D$153,$B9,'종목 목록'!$I$2:$I$153,"&lt;&gt;탭 밖 이동")</f>
        <v>0</v>
      </c>
      <c r="G9" s="10" t="s">
        <v>27</v>
      </c>
      <c r="H9" s="10" t="s">
        <v>28</v>
      </c>
      <c r="I9" s="10" t="s">
        <v>15</v>
      </c>
    </row>
    <row r="10" customFormat="false" ht="48" hidden="false" customHeight="true" outlineLevel="0" collapsed="false">
      <c r="A10" s="5" t="n">
        <v>6</v>
      </c>
      <c r="B10" s="6" t="s">
        <v>29</v>
      </c>
      <c r="C10" s="7" t="s">
        <v>12</v>
      </c>
      <c r="D10" s="8" t="n">
        <f aca="false">COUNTIFS('종목 목록'!$A$2:$A$153,"국장",'종목 목록'!$D$2:$D$153,$B10,'종목 목록'!$I$2:$I$153,"&lt;&gt;탭 밖 이동")</f>
        <v>12</v>
      </c>
      <c r="E10" s="8" t="n">
        <f aca="false">COUNTIFS('종목 목록'!$A$2:$A$153,"미장",'종목 목록'!$D$2:$D$153,$B10,'종목 목록'!$I$2:$I$153,"&lt;&gt;탭 밖 이동")</f>
        <v>4</v>
      </c>
      <c r="F10" s="8" t="n">
        <f aca="false">COUNTIFS('종목 목록'!$A$2:$A$153,"일장",'종목 목록'!$D$2:$D$153,$B10,'종목 목록'!$I$2:$I$153,"&lt;&gt;탭 밖 이동")</f>
        <v>2</v>
      </c>
      <c r="G10" s="10" t="s">
        <v>30</v>
      </c>
      <c r="H10" s="10" t="s">
        <v>31</v>
      </c>
      <c r="I10" s="9" t="s">
        <v>32</v>
      </c>
    </row>
    <row r="11" customFormat="false" ht="48" hidden="false" customHeight="true" outlineLevel="0" collapsed="false">
      <c r="A11" s="5" t="n">
        <v>7</v>
      </c>
      <c r="B11" s="6" t="s">
        <v>33</v>
      </c>
      <c r="C11" s="7" t="s">
        <v>12</v>
      </c>
      <c r="D11" s="8" t="n">
        <f aca="false">COUNTIFS('종목 목록'!$A$2:$A$153,"국장",'종목 목록'!$D$2:$D$153,$B11,'종목 목록'!$I$2:$I$153,"&lt;&gt;탭 밖 이동")</f>
        <v>12</v>
      </c>
      <c r="E11" s="8" t="n">
        <f aca="false">COUNTIFS('종목 목록'!$A$2:$A$153,"미장",'종목 목록'!$D$2:$D$153,$B11,'종목 목록'!$I$2:$I$153,"&lt;&gt;탭 밖 이동")</f>
        <v>3</v>
      </c>
      <c r="F11" s="8" t="n">
        <f aca="false">COUNTIFS('종목 목록'!$A$2:$A$153,"일장",'종목 목록'!$D$2:$D$153,$B11,'종목 목록'!$I$2:$I$153,"&lt;&gt;탭 밖 이동")</f>
        <v>4</v>
      </c>
      <c r="G11" s="9" t="s">
        <v>34</v>
      </c>
      <c r="H11" s="9" t="s">
        <v>35</v>
      </c>
      <c r="I11" s="9" t="s">
        <v>36</v>
      </c>
    </row>
    <row r="12" customFormat="false" ht="32.25" hidden="false" customHeight="true" outlineLevel="0" collapsed="false">
      <c r="A12" s="5" t="n">
        <v>8</v>
      </c>
      <c r="B12" s="7" t="s">
        <v>37</v>
      </c>
      <c r="C12" s="7" t="s">
        <v>12</v>
      </c>
      <c r="D12" s="8" t="n">
        <f aca="false">COUNTIFS('종목 목록'!$A$2:$A$153,"국장",'종목 목록'!$D$2:$D$153,$B12,'종목 목록'!$I$2:$I$153,"&lt;&gt;탭 밖 이동")</f>
        <v>5</v>
      </c>
      <c r="E12" s="8" t="n">
        <f aca="false">COUNTIFS('종목 목록'!$A$2:$A$153,"미장",'종목 목록'!$D$2:$D$153,$B12,'종목 목록'!$I$2:$I$153,"&lt;&gt;탭 밖 이동")</f>
        <v>2</v>
      </c>
      <c r="F12" s="8" t="n">
        <f aca="false">COUNTIFS('종목 목록'!$A$2:$A$153,"일장",'종목 목록'!$D$2:$D$153,$B12,'종목 목록'!$I$2:$I$153,"&lt;&gt;탭 밖 이동")</f>
        <v>0</v>
      </c>
      <c r="G12" s="9" t="s">
        <v>38</v>
      </c>
      <c r="H12" s="10" t="s">
        <v>39</v>
      </c>
      <c r="I12" s="10" t="s">
        <v>15</v>
      </c>
    </row>
    <row r="13" customFormat="false" ht="48" hidden="false" customHeight="true" outlineLevel="0" collapsed="false">
      <c r="A13" s="11" t="n">
        <v>9</v>
      </c>
      <c r="B13" s="12" t="s">
        <v>40</v>
      </c>
      <c r="C13" s="13" t="s">
        <v>41</v>
      </c>
      <c r="D13" s="14" t="n">
        <f aca="false">COUNTIFS('종목 목록'!$A$2:$A$153,"국장",'종목 목록'!$D$2:$D$153,$B13,'종목 목록'!$I$2:$I$153,"&lt;&gt;탭 밖 이동")</f>
        <v>12</v>
      </c>
      <c r="E13" s="14" t="n">
        <f aca="false">COUNTIFS('종목 목록'!$A$2:$A$153,"미장",'종목 목록'!$D$2:$D$153,$B13,'종목 목록'!$I$2:$I$153,"&lt;&gt;탭 밖 이동")</f>
        <v>2</v>
      </c>
      <c r="F13" s="14" t="n">
        <f aca="false">COUNTIFS('종목 목록'!$A$2:$A$153,"일장",'종목 목록'!$D$2:$D$153,$B13,'종목 목록'!$I$2:$I$153,"&lt;&gt;탭 밖 이동")</f>
        <v>1</v>
      </c>
      <c r="G13" s="15" t="s">
        <v>42</v>
      </c>
      <c r="H13" s="15" t="s">
        <v>43</v>
      </c>
      <c r="I13" s="15" t="s">
        <v>44</v>
      </c>
    </row>
    <row r="14" customFormat="false" ht="16.5" hidden="false" customHeight="true" outlineLevel="0" collapsed="false">
      <c r="A14" s="5" t="n">
        <v>10</v>
      </c>
      <c r="B14" s="6" t="s">
        <v>45</v>
      </c>
      <c r="C14" s="7" t="s">
        <v>41</v>
      </c>
      <c r="D14" s="8" t="n">
        <f aca="false">COUNTIFS('종목 목록'!$A$2:$A$153,"국장",'종목 목록'!$D$2:$D$153,$B14,'종목 목록'!$I$2:$I$153,"&lt;&gt;탭 밖 이동")</f>
        <v>4</v>
      </c>
      <c r="E14" s="8" t="n">
        <f aca="false">COUNTIFS('종목 목록'!$A$2:$A$153,"미장",'종목 목록'!$D$2:$D$153,$B14,'종목 목록'!$I$2:$I$153,"&lt;&gt;탭 밖 이동")</f>
        <v>0</v>
      </c>
      <c r="F14" s="8" t="n">
        <f aca="false">COUNTIFS('종목 목록'!$A$2:$A$153,"일장",'종목 목록'!$D$2:$D$153,$B14,'종목 목록'!$I$2:$I$153,"&lt;&gt;탭 밖 이동")</f>
        <v>1</v>
      </c>
      <c r="G14" s="9" t="s">
        <v>46</v>
      </c>
      <c r="H14" s="10" t="s">
        <v>15</v>
      </c>
      <c r="I14" s="9" t="s">
        <v>47</v>
      </c>
    </row>
    <row r="15" customFormat="false" ht="16.5" hidden="false" customHeight="true" outlineLevel="0" collapsed="false">
      <c r="A15" s="5" t="n">
        <v>11</v>
      </c>
      <c r="B15" s="6" t="s">
        <v>48</v>
      </c>
      <c r="C15" s="7" t="s">
        <v>41</v>
      </c>
      <c r="D15" s="8" t="n">
        <f aca="false">COUNTIFS('종목 목록'!$A$2:$A$153,"국장",'종목 목록'!$D$2:$D$153,$B15,'종목 목록'!$I$2:$I$153,"&lt;&gt;탭 밖 이동")</f>
        <v>0</v>
      </c>
      <c r="E15" s="8" t="n">
        <f aca="false">COUNTIFS('종목 목록'!$A$2:$A$153,"미장",'종목 목록'!$D$2:$D$153,$B15,'종목 목록'!$I$2:$I$153,"&lt;&gt;탭 밖 이동")</f>
        <v>0</v>
      </c>
      <c r="F15" s="8" t="n">
        <f aca="false">COUNTIFS('종목 목록'!$A$2:$A$153,"일장",'종목 목록'!$D$2:$D$153,$B15,'종목 목록'!$I$2:$I$153,"&lt;&gt;탭 밖 이동")</f>
        <v>2</v>
      </c>
      <c r="G15" s="10" t="s">
        <v>15</v>
      </c>
      <c r="H15" s="10" t="s">
        <v>15</v>
      </c>
      <c r="I15" s="9" t="s">
        <v>49</v>
      </c>
    </row>
    <row r="16" customFormat="false" ht="16.5" hidden="false" customHeight="true" outlineLevel="0" collapsed="false">
      <c r="A16" s="5" t="n">
        <v>12</v>
      </c>
      <c r="B16" s="6" t="s">
        <v>50</v>
      </c>
      <c r="C16" s="7" t="s">
        <v>41</v>
      </c>
      <c r="D16" s="8" t="n">
        <f aca="false">COUNTIFS('종목 목록'!$A$2:$A$153,"국장",'종목 목록'!$D$2:$D$153,$B16,'종목 목록'!$I$2:$I$153,"&lt;&gt;탭 밖 이동")</f>
        <v>0</v>
      </c>
      <c r="E16" s="8" t="n">
        <f aca="false">COUNTIFS('종목 목록'!$A$2:$A$153,"미장",'종목 목록'!$D$2:$D$153,$B16,'종목 목록'!$I$2:$I$153,"&lt;&gt;탭 밖 이동")</f>
        <v>0</v>
      </c>
      <c r="F16" s="8" t="n">
        <f aca="false">COUNTIFS('종목 목록'!$A$2:$A$153,"일장",'종목 목록'!$D$2:$D$153,$B16,'종목 목록'!$I$2:$I$153,"&lt;&gt;탭 밖 이동")</f>
        <v>2</v>
      </c>
      <c r="G16" s="10" t="s">
        <v>15</v>
      </c>
      <c r="H16" s="10" t="s">
        <v>15</v>
      </c>
      <c r="I16" s="9" t="s">
        <v>51</v>
      </c>
    </row>
    <row r="17" customFormat="false" ht="16.5" hidden="false" customHeight="true" outlineLevel="0" collapsed="false">
      <c r="A17" s="5" t="n">
        <v>13</v>
      </c>
      <c r="B17" s="6" t="s">
        <v>52</v>
      </c>
      <c r="C17" s="7" t="s">
        <v>41</v>
      </c>
      <c r="D17" s="8" t="n">
        <f aca="false">COUNTIFS('종목 목록'!$A$2:$A$153,"국장",'종목 목록'!$D$2:$D$153,$B17,'종목 목록'!$I$2:$I$153,"&lt;&gt;탭 밖 이동")</f>
        <v>3</v>
      </c>
      <c r="E17" s="8" t="n">
        <f aca="false">COUNTIFS('종목 목록'!$A$2:$A$153,"미장",'종목 목록'!$D$2:$D$153,$B17,'종목 목록'!$I$2:$I$153,"&lt;&gt;탭 밖 이동")</f>
        <v>0</v>
      </c>
      <c r="F17" s="8" t="n">
        <f aca="false">COUNTIFS('종목 목록'!$A$2:$A$153,"일장",'종목 목록'!$D$2:$D$153,$B17,'종목 목록'!$I$2:$I$153,"&lt;&gt;탭 밖 이동")</f>
        <v>4</v>
      </c>
      <c r="G17" s="10" t="s">
        <v>53</v>
      </c>
      <c r="H17" s="10" t="s">
        <v>15</v>
      </c>
      <c r="I17" s="9" t="s">
        <v>54</v>
      </c>
    </row>
    <row r="18" customFormat="false" ht="32.25" hidden="false" customHeight="true" outlineLevel="0" collapsed="false">
      <c r="A18" s="5" t="n">
        <v>14</v>
      </c>
      <c r="B18" s="7" t="s">
        <v>55</v>
      </c>
      <c r="C18" s="7" t="s">
        <v>41</v>
      </c>
      <c r="D18" s="8" t="n">
        <f aca="false">COUNTIFS('종목 목록'!$A$2:$A$153,"국장",'종목 목록'!$D$2:$D$153,$B18,'종목 목록'!$I$2:$I$153,"&lt;&gt;탭 밖 이동")</f>
        <v>7</v>
      </c>
      <c r="E18" s="8" t="n">
        <f aca="false">COUNTIFS('종목 목록'!$A$2:$A$153,"미장",'종목 목록'!$D$2:$D$153,$B18,'종목 목록'!$I$2:$I$153,"&lt;&gt;탭 밖 이동")</f>
        <v>1</v>
      </c>
      <c r="F18" s="8" t="n">
        <f aca="false">COUNTIFS('종목 목록'!$A$2:$A$153,"일장",'종목 목록'!$D$2:$D$153,$B18,'종목 목록'!$I$2:$I$153,"&lt;&gt;탭 밖 이동")</f>
        <v>2</v>
      </c>
      <c r="G18" s="10" t="s">
        <v>56</v>
      </c>
      <c r="H18" s="10" t="s">
        <v>57</v>
      </c>
      <c r="I18" s="9" t="s">
        <v>58</v>
      </c>
    </row>
    <row r="19" customFormat="false" ht="32.25" hidden="false" customHeight="true" outlineLevel="0" collapsed="false">
      <c r="A19" s="5" t="n">
        <v>15</v>
      </c>
      <c r="B19" s="6" t="s">
        <v>59</v>
      </c>
      <c r="C19" s="7" t="s">
        <v>41</v>
      </c>
      <c r="D19" s="8" t="n">
        <f aca="false">COUNTIFS('종목 목록'!$A$2:$A$153,"국장",'종목 목록'!$D$2:$D$153,$B19,'종목 목록'!$I$2:$I$153,"&lt;&gt;탭 밖 이동")</f>
        <v>6</v>
      </c>
      <c r="E19" s="8" t="n">
        <f aca="false">COUNTIFS('종목 목록'!$A$2:$A$153,"미장",'종목 목록'!$D$2:$D$153,$B19,'종목 목록'!$I$2:$I$153,"&lt;&gt;탭 밖 이동")</f>
        <v>0</v>
      </c>
      <c r="F19" s="8" t="n">
        <f aca="false">COUNTIFS('종목 목록'!$A$2:$A$153,"일장",'종목 목록'!$D$2:$D$153,$B19,'종목 목록'!$I$2:$I$153,"&lt;&gt;탭 밖 이동")</f>
        <v>2</v>
      </c>
      <c r="G19" s="10" t="s">
        <v>60</v>
      </c>
      <c r="H19" s="10" t="s">
        <v>15</v>
      </c>
      <c r="I19" s="9" t="s">
        <v>61</v>
      </c>
    </row>
    <row r="20" customFormat="false" ht="79.5" hidden="false" customHeight="true" outlineLevel="0" collapsed="false">
      <c r="A20" s="5" t="n">
        <v>16</v>
      </c>
      <c r="B20" s="6" t="s">
        <v>62</v>
      </c>
      <c r="C20" s="7" t="s">
        <v>41</v>
      </c>
      <c r="D20" s="8" t="n">
        <f aca="false">COUNTIFS('종목 목록'!$A$2:$A$153,"국장",'종목 목록'!$D$2:$D$153,$B20,'종목 목록'!$I$2:$I$153,"&lt;&gt;탭 밖 이동")</f>
        <v>1</v>
      </c>
      <c r="E20" s="8" t="n">
        <f aca="false">COUNTIFS('종목 목록'!$A$2:$A$153,"미장",'종목 목록'!$D$2:$D$153,$B20,'종목 목록'!$I$2:$I$153,"&lt;&gt;탭 밖 이동")</f>
        <v>9</v>
      </c>
      <c r="F20" s="8" t="n">
        <f aca="false">COUNTIFS('종목 목록'!$A$2:$A$153,"일장",'종목 목록'!$D$2:$D$153,$B20,'종목 목록'!$I$2:$I$153,"&lt;&gt;탭 밖 이동")</f>
        <v>2</v>
      </c>
      <c r="G20" s="10" t="s">
        <v>63</v>
      </c>
      <c r="H20" s="9" t="s">
        <v>64</v>
      </c>
      <c r="I20" s="9" t="s">
        <v>65</v>
      </c>
    </row>
    <row r="21" customFormat="false" ht="16.5" hidden="false" customHeight="true" outlineLevel="0" collapsed="false">
      <c r="A21" s="5" t="n">
        <v>17</v>
      </c>
      <c r="B21" s="7" t="s">
        <v>66</v>
      </c>
      <c r="C21" s="7" t="s">
        <v>41</v>
      </c>
      <c r="D21" s="8" t="n">
        <f aca="false">COUNTIFS('종목 목록'!$A$2:$A$153,"국장",'종목 목록'!$D$2:$D$153,$B21,'종목 목록'!$I$2:$I$153,"&lt;&gt;탭 밖 이동")</f>
        <v>5</v>
      </c>
      <c r="E21" s="8" t="n">
        <f aca="false">COUNTIFS('종목 목록'!$A$2:$A$153,"미장",'종목 목록'!$D$2:$D$153,$B21,'종목 목록'!$I$2:$I$153,"&lt;&gt;탭 밖 이동")</f>
        <v>3</v>
      </c>
      <c r="F21" s="8" t="n">
        <f aca="false">COUNTIFS('종목 목록'!$A$2:$A$153,"일장",'종목 목록'!$D$2:$D$153,$B21,'종목 목록'!$I$2:$I$153,"&lt;&gt;탭 밖 이동")</f>
        <v>2</v>
      </c>
      <c r="G21" s="9" t="s">
        <v>67</v>
      </c>
      <c r="H21" s="9" t="s">
        <v>68</v>
      </c>
      <c r="I21" s="9" t="s">
        <v>69</v>
      </c>
    </row>
    <row r="22" customFormat="false" ht="15" hidden="false" customHeight="true" outlineLevel="0" collapsed="false">
      <c r="B22" s="16" t="s">
        <v>70</v>
      </c>
      <c r="D22" s="17" t="n">
        <f aca="false">SUM(D5:D21)</f>
        <v>84</v>
      </c>
      <c r="E22" s="17" t="n">
        <f aca="false">SUM(E5:E21)</f>
        <v>41</v>
      </c>
      <c r="F22" s="17" t="n">
        <f aca="false">SUM(F5:F21)</f>
        <v>26</v>
      </c>
    </row>
  </sheetData>
  <conditionalFormatting sqref="D5:F5">
    <cfRule type="expression" priority="2" aboveAverage="0" equalAverage="0" bottom="0" percent="0" rank="0" text="" dxfId="0">
      <formula>D5=0</formula>
    </cfRule>
  </conditionalFormatting>
  <conditionalFormatting sqref="D6:F6">
    <cfRule type="expression" priority="3" aboveAverage="0" equalAverage="0" bottom="0" percent="0" rank="0" text="" dxfId="0">
      <formula>D6=0</formula>
    </cfRule>
  </conditionalFormatting>
  <conditionalFormatting sqref="D7:F7">
    <cfRule type="expression" priority="4" aboveAverage="0" equalAverage="0" bottom="0" percent="0" rank="0" text="" dxfId="0">
      <formula>D7=0</formula>
    </cfRule>
  </conditionalFormatting>
  <conditionalFormatting sqref="D8:F8">
    <cfRule type="expression" priority="5" aboveAverage="0" equalAverage="0" bottom="0" percent="0" rank="0" text="" dxfId="0">
      <formula>D8=0</formula>
    </cfRule>
  </conditionalFormatting>
  <conditionalFormatting sqref="D9:F9">
    <cfRule type="expression" priority="6" aboveAverage="0" equalAverage="0" bottom="0" percent="0" rank="0" text="" dxfId="0">
      <formula>D9=0</formula>
    </cfRule>
  </conditionalFormatting>
  <conditionalFormatting sqref="D10:F10">
    <cfRule type="expression" priority="7" aboveAverage="0" equalAverage="0" bottom="0" percent="0" rank="0" text="" dxfId="0">
      <formula>D10=0</formula>
    </cfRule>
  </conditionalFormatting>
  <conditionalFormatting sqref="D11:F11">
    <cfRule type="expression" priority="8" aboveAverage="0" equalAverage="0" bottom="0" percent="0" rank="0" text="" dxfId="0">
      <formula>D11=0</formula>
    </cfRule>
  </conditionalFormatting>
  <conditionalFormatting sqref="D12:F12">
    <cfRule type="expression" priority="9" aboveAverage="0" equalAverage="0" bottom="0" percent="0" rank="0" text="" dxfId="0">
      <formula>D12=0</formula>
    </cfRule>
  </conditionalFormatting>
  <conditionalFormatting sqref="D13:F13">
    <cfRule type="expression" priority="10" aboveAverage="0" equalAverage="0" bottom="0" percent="0" rank="0" text="" dxfId="0">
      <formula>D13=0</formula>
    </cfRule>
  </conditionalFormatting>
  <conditionalFormatting sqref="D14:F14">
    <cfRule type="expression" priority="11" aboveAverage="0" equalAverage="0" bottom="0" percent="0" rank="0" text="" dxfId="0">
      <formula>D14=0</formula>
    </cfRule>
  </conditionalFormatting>
  <conditionalFormatting sqref="D15:F15">
    <cfRule type="expression" priority="12" aboveAverage="0" equalAverage="0" bottom="0" percent="0" rank="0" text="" dxfId="0">
      <formula>D15=0</formula>
    </cfRule>
  </conditionalFormatting>
  <conditionalFormatting sqref="D16:F16">
    <cfRule type="expression" priority="13" aboveAverage="0" equalAverage="0" bottom="0" percent="0" rank="0" text="" dxfId="0">
      <formula>D16=0</formula>
    </cfRule>
  </conditionalFormatting>
  <conditionalFormatting sqref="D17:F17">
    <cfRule type="expression" priority="14" aboveAverage="0" equalAverage="0" bottom="0" percent="0" rank="0" text="" dxfId="0">
      <formula>D17=0</formula>
    </cfRule>
  </conditionalFormatting>
  <conditionalFormatting sqref="D18:F18">
    <cfRule type="expression" priority="15" aboveAverage="0" equalAverage="0" bottom="0" percent="0" rank="0" text="" dxfId="0">
      <formula>D18=0</formula>
    </cfRule>
  </conditionalFormatting>
  <conditionalFormatting sqref="D19:F19">
    <cfRule type="expression" priority="16" aboveAverage="0" equalAverage="0" bottom="0" percent="0" rank="0" text="" dxfId="0">
      <formula>D19=0</formula>
    </cfRule>
  </conditionalFormatting>
  <conditionalFormatting sqref="D20:F20">
    <cfRule type="expression" priority="17" aboveAverage="0" equalAverage="0" bottom="0" percent="0" rank="0" text="" dxfId="0">
      <formula>D20=0</formula>
    </cfRule>
  </conditionalFormatting>
  <conditionalFormatting sqref="D21:F21">
    <cfRule type="expression" priority="18" aboveAverage="0" equalAverage="0" bottom="0" percent="0" rank="0" text="" dxfId="0">
      <formula>D21=0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6" min="4" style="1" width="10"/>
    <col collapsed="false" customWidth="true" hidden="false" outlineLevel="0" max="7" min="7" style="1" width="34"/>
  </cols>
  <sheetData>
    <row r="1" customFormat="false" ht="17.25" hidden="false" customHeight="true" outlineLevel="0" collapsed="false">
      <c r="A1" s="2" t="s">
        <v>71</v>
      </c>
    </row>
    <row r="3" customFormat="false" ht="16.5" hidden="false" customHeight="true" outlineLevel="0" collapsed="false">
      <c r="A3" s="18" t="s">
        <v>72</v>
      </c>
      <c r="B3" s="18" t="s">
        <v>73</v>
      </c>
      <c r="C3" s="18" t="s">
        <v>74</v>
      </c>
      <c r="D3" s="18" t="s">
        <v>75</v>
      </c>
      <c r="E3" s="18" t="s">
        <v>76</v>
      </c>
      <c r="F3" s="18" t="s">
        <v>77</v>
      </c>
      <c r="G3" s="19" t="s">
        <v>78</v>
      </c>
    </row>
    <row r="4" customFormat="false" ht="16.5" hidden="false" customHeight="true" outlineLevel="0" collapsed="false">
      <c r="A4" s="20" t="s">
        <v>5</v>
      </c>
      <c r="B4" s="21" t="s">
        <v>12</v>
      </c>
      <c r="C4" s="20" t="s">
        <v>79</v>
      </c>
      <c r="D4" s="21" t="n">
        <f aca="false">COUNTIFS('종목 목록'!$A$2:$A$151,$A4,'종목 목록'!$B$2:$B$151,$B4,'종목 목록'!$I$2:$I$151,"&lt;&gt;탭 밖 이동")</f>
        <v>46</v>
      </c>
      <c r="E4" s="21" t="n">
        <f aca="false">COUNTIFS('종목 목록'!$A$2:$A$151,$A4,'종목 목록'!$B$2:$B$151,$B4,'종목 목록'!$I$2:$I$151,"제외 후보")</f>
        <v>0</v>
      </c>
      <c r="F4" s="16" t="n">
        <f aca="false">D4-E4</f>
        <v>46</v>
      </c>
      <c r="G4" s="20" t="s">
        <v>80</v>
      </c>
    </row>
    <row r="5" customFormat="false" ht="16.5" hidden="false" customHeight="true" outlineLevel="0" collapsed="false">
      <c r="A5" s="20" t="s">
        <v>5</v>
      </c>
      <c r="B5" s="21" t="s">
        <v>41</v>
      </c>
      <c r="C5" s="20" t="s">
        <v>81</v>
      </c>
      <c r="D5" s="21" t="n">
        <f aca="false">COUNTIFS('종목 목록'!$A$2:$A$151,$A5,'종목 목록'!$B$2:$B$151,$B5,'종목 목록'!$I$2:$I$151,"&lt;&gt;탭 밖 이동")</f>
        <v>38</v>
      </c>
      <c r="E5" s="21" t="n">
        <f aca="false">COUNTIFS('종목 목록'!$A$2:$A$151,$A5,'종목 목록'!$B$2:$B$151,$B5,'종목 목록'!$I$2:$I$151,"제외 후보")</f>
        <v>2</v>
      </c>
      <c r="F5" s="16" t="n">
        <f aca="false">D5-E5</f>
        <v>36</v>
      </c>
      <c r="G5" s="20" t="s">
        <v>82</v>
      </c>
    </row>
    <row r="6" customFormat="false" ht="16.5" hidden="false" customHeight="true" outlineLevel="0" collapsed="false">
      <c r="A6" s="20" t="s">
        <v>6</v>
      </c>
      <c r="B6" s="21" t="s">
        <v>12</v>
      </c>
      <c r="C6" s="20" t="s">
        <v>83</v>
      </c>
      <c r="D6" s="21" t="n">
        <f aca="false">COUNTIFS('종목 목록'!$A$2:$A$151,$A6,'종목 목록'!$B$2:$B$151,$B6,'종목 목록'!$I$2:$I$151,"&lt;&gt;탭 밖 이동")</f>
        <v>41</v>
      </c>
      <c r="E6" s="21" t="n">
        <f aca="false">COUNTIFS('종목 목록'!$A$2:$A$151,$A6,'종목 목록'!$B$2:$B$151,$B6,'종목 목록'!$I$2:$I$151,"제외 후보")</f>
        <v>0</v>
      </c>
      <c r="F6" s="16" t="n">
        <f aca="false">D6-E6</f>
        <v>41</v>
      </c>
      <c r="G6" s="20" t="s">
        <v>84</v>
      </c>
    </row>
    <row r="7" customFormat="false" ht="16.5" hidden="false" customHeight="true" outlineLevel="0" collapsed="false">
      <c r="A7" s="20" t="s">
        <v>7</v>
      </c>
      <c r="B7" s="21" t="s">
        <v>12</v>
      </c>
      <c r="C7" s="20" t="s">
        <v>83</v>
      </c>
      <c r="D7" s="21" t="n">
        <f aca="false">COUNTIFS('종목 목록'!$A$2:$A$151,$A7,'종목 목록'!$B$2:$B$151,$B7,'종목 목록'!$I$2:$I$151,"&lt;&gt;탭 밖 이동")</f>
        <v>24</v>
      </c>
      <c r="E7" s="21" t="n">
        <f aca="false">COUNTIFS('종목 목록'!$A$2:$A$151,$A7,'종목 목록'!$B$2:$B$151,$B7,'종목 목록'!$I$2:$I$151,"제외 후보")</f>
        <v>0</v>
      </c>
      <c r="F7" s="16" t="n">
        <f aca="false">D7-E7</f>
        <v>24</v>
      </c>
      <c r="G7" s="20" t="s">
        <v>85</v>
      </c>
    </row>
    <row r="10" customFormat="false" ht="15" hidden="false" customHeight="true" outlineLevel="0" collapsed="false">
      <c r="A10" s="16" t="s">
        <v>86</v>
      </c>
    </row>
    <row r="11" customFormat="false" ht="15" hidden="false" customHeight="true" outlineLevel="0" collapsed="false">
      <c r="A11" s="22" t="s">
        <v>87</v>
      </c>
    </row>
    <row r="12" customFormat="false" ht="15" hidden="false" customHeight="true" outlineLevel="0" collapsed="false">
      <c r="A12" s="22" t="s">
        <v>88</v>
      </c>
    </row>
    <row r="13" customFormat="false" ht="15" hidden="false" customHeight="true" outlineLevel="0" collapsed="false">
      <c r="A13" s="23" t="s">
        <v>89</v>
      </c>
    </row>
    <row r="14" customFormat="false" ht="15" hidden="false" customHeight="true" outlineLevel="0" collapsed="false">
      <c r="A14" s="22" t="s">
        <v>90</v>
      </c>
    </row>
    <row r="15" customFormat="false" ht="15" hidden="false" customHeight="true" outlineLevel="0" collapsed="false">
      <c r="A15" s="22" t="s">
        <v>91</v>
      </c>
    </row>
    <row r="16" customFormat="false" ht="15" hidden="false" customHeight="true" outlineLevel="0" collapsed="false">
      <c r="A16" s="2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18"/>
    <col collapsed="false" customWidth="true" hidden="false" outlineLevel="0" max="5" min="5" style="1" width="22"/>
    <col collapsed="false" customWidth="true" hidden="false" outlineLevel="0" max="6" min="6" style="1" width="30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0" min="10" style="1" width="52"/>
  </cols>
  <sheetData>
    <row r="1" customFormat="false" ht="16.5" hidden="false" customHeight="true" outlineLevel="0" collapsed="false">
      <c r="A1" s="18" t="s">
        <v>72</v>
      </c>
      <c r="B1" s="18" t="s">
        <v>73</v>
      </c>
      <c r="C1" s="18" t="s">
        <v>93</v>
      </c>
      <c r="D1" s="18" t="s">
        <v>3</v>
      </c>
      <c r="E1" s="18" t="s">
        <v>94</v>
      </c>
      <c r="F1" s="18" t="s">
        <v>95</v>
      </c>
      <c r="G1" s="18" t="s">
        <v>96</v>
      </c>
      <c r="H1" s="18" t="s">
        <v>97</v>
      </c>
      <c r="I1" s="18" t="s">
        <v>98</v>
      </c>
      <c r="J1" s="18" t="s">
        <v>99</v>
      </c>
    </row>
    <row r="2" customFormat="false" ht="16.5" hidden="false" customHeight="true" outlineLevel="0" collapsed="false">
      <c r="A2" s="24" t="s">
        <v>5</v>
      </c>
      <c r="B2" s="25" t="s">
        <v>12</v>
      </c>
      <c r="C2" s="26" t="n">
        <v>1</v>
      </c>
      <c r="D2" s="24" t="s">
        <v>11</v>
      </c>
      <c r="E2" s="24" t="s">
        <v>11</v>
      </c>
      <c r="F2" s="24" t="s">
        <v>100</v>
      </c>
      <c r="G2" s="27" t="s">
        <v>101</v>
      </c>
      <c r="H2" s="27" t="s">
        <v>101</v>
      </c>
      <c r="I2" s="24" t="s">
        <v>102</v>
      </c>
      <c r="J2" s="25"/>
    </row>
    <row r="3" customFormat="false" ht="16.5" hidden="false" customHeight="true" outlineLevel="0" collapsed="false">
      <c r="A3" s="24" t="s">
        <v>5</v>
      </c>
      <c r="B3" s="25" t="s">
        <v>12</v>
      </c>
      <c r="C3" s="26" t="n">
        <v>1</v>
      </c>
      <c r="D3" s="24" t="s">
        <v>11</v>
      </c>
      <c r="E3" s="24" t="s">
        <v>11</v>
      </c>
      <c r="F3" s="24" t="s">
        <v>103</v>
      </c>
      <c r="G3" s="27" t="s">
        <v>104</v>
      </c>
      <c r="H3" s="27" t="s">
        <v>104</v>
      </c>
      <c r="I3" s="24" t="s">
        <v>102</v>
      </c>
      <c r="J3" s="25"/>
    </row>
    <row r="4" customFormat="false" ht="16.5" hidden="false" customHeight="true" outlineLevel="0" collapsed="false">
      <c r="A4" s="24" t="s">
        <v>5</v>
      </c>
      <c r="B4" s="25" t="s">
        <v>12</v>
      </c>
      <c r="C4" s="26" t="n">
        <v>1</v>
      </c>
      <c r="D4" s="24" t="s">
        <v>11</v>
      </c>
      <c r="E4" s="24" t="s">
        <v>11</v>
      </c>
      <c r="F4" s="24" t="s">
        <v>105</v>
      </c>
      <c r="G4" s="27" t="s">
        <v>106</v>
      </c>
      <c r="H4" s="27" t="s">
        <v>106</v>
      </c>
      <c r="I4" s="24" t="s">
        <v>102</v>
      </c>
      <c r="J4" s="25"/>
    </row>
    <row r="5" customFormat="false" ht="16.5" hidden="false" customHeight="true" outlineLevel="0" collapsed="false">
      <c r="A5" s="24" t="s">
        <v>5</v>
      </c>
      <c r="B5" s="25" t="s">
        <v>12</v>
      </c>
      <c r="C5" s="26" t="n">
        <v>1</v>
      </c>
      <c r="D5" s="24" t="s">
        <v>11</v>
      </c>
      <c r="E5" s="24" t="s">
        <v>11</v>
      </c>
      <c r="F5" s="24" t="s">
        <v>107</v>
      </c>
      <c r="G5" s="27" t="s">
        <v>108</v>
      </c>
      <c r="H5" s="27" t="s">
        <v>108</v>
      </c>
      <c r="I5" s="24" t="s">
        <v>102</v>
      </c>
      <c r="J5" s="25"/>
    </row>
    <row r="6" customFormat="false" ht="16.5" hidden="false" customHeight="true" outlineLevel="0" collapsed="false">
      <c r="A6" s="24" t="s">
        <v>5</v>
      </c>
      <c r="B6" s="25" t="s">
        <v>12</v>
      </c>
      <c r="C6" s="26" t="n">
        <v>1</v>
      </c>
      <c r="D6" s="24" t="s">
        <v>11</v>
      </c>
      <c r="E6" s="24" t="s">
        <v>11</v>
      </c>
      <c r="F6" s="24" t="s">
        <v>109</v>
      </c>
      <c r="G6" s="27" t="s">
        <v>110</v>
      </c>
      <c r="H6" s="27" t="s">
        <v>110</v>
      </c>
      <c r="I6" s="24" t="s">
        <v>102</v>
      </c>
      <c r="J6" s="25"/>
    </row>
    <row r="7" customFormat="false" ht="16.5" hidden="false" customHeight="true" outlineLevel="0" collapsed="false">
      <c r="A7" s="24" t="s">
        <v>5</v>
      </c>
      <c r="B7" s="25" t="s">
        <v>12</v>
      </c>
      <c r="C7" s="26" t="n">
        <v>1</v>
      </c>
      <c r="D7" s="24" t="s">
        <v>11</v>
      </c>
      <c r="E7" s="24" t="s">
        <v>11</v>
      </c>
      <c r="F7" s="24" t="s">
        <v>111</v>
      </c>
      <c r="G7" s="27" t="s">
        <v>112</v>
      </c>
      <c r="H7" s="27" t="s">
        <v>112</v>
      </c>
      <c r="I7" s="24" t="s">
        <v>102</v>
      </c>
      <c r="J7" s="25"/>
    </row>
    <row r="8" customFormat="false" ht="16.5" hidden="false" customHeight="true" outlineLevel="0" collapsed="false">
      <c r="A8" s="24" t="s">
        <v>5</v>
      </c>
      <c r="B8" s="25" t="s">
        <v>12</v>
      </c>
      <c r="C8" s="26" t="n">
        <v>1</v>
      </c>
      <c r="D8" s="24" t="s">
        <v>11</v>
      </c>
      <c r="E8" s="24" t="s">
        <v>11</v>
      </c>
      <c r="F8" s="25" t="s">
        <v>113</v>
      </c>
      <c r="G8" s="27" t="s">
        <v>114</v>
      </c>
      <c r="H8" s="27" t="s">
        <v>114</v>
      </c>
      <c r="I8" s="24" t="s">
        <v>102</v>
      </c>
      <c r="J8" s="25"/>
    </row>
    <row r="9" customFormat="false" ht="16.5" hidden="false" customHeight="true" outlineLevel="0" collapsed="false">
      <c r="A9" s="24" t="s">
        <v>5</v>
      </c>
      <c r="B9" s="25" t="s">
        <v>12</v>
      </c>
      <c r="C9" s="26" t="n">
        <v>2</v>
      </c>
      <c r="D9" s="25" t="s">
        <v>16</v>
      </c>
      <c r="E9" s="25" t="s">
        <v>115</v>
      </c>
      <c r="F9" s="24" t="s">
        <v>116</v>
      </c>
      <c r="G9" s="27" t="s">
        <v>117</v>
      </c>
      <c r="H9" s="27" t="s">
        <v>117</v>
      </c>
      <c r="I9" s="24" t="s">
        <v>102</v>
      </c>
      <c r="J9" s="25"/>
    </row>
    <row r="10" customFormat="false" ht="16.5" hidden="false" customHeight="true" outlineLevel="0" collapsed="false">
      <c r="A10" s="24" t="s">
        <v>5</v>
      </c>
      <c r="B10" s="25" t="s">
        <v>12</v>
      </c>
      <c r="C10" s="26" t="n">
        <v>2</v>
      </c>
      <c r="D10" s="25" t="s">
        <v>16</v>
      </c>
      <c r="E10" s="24" t="s">
        <v>11</v>
      </c>
      <c r="F10" s="24" t="s">
        <v>118</v>
      </c>
      <c r="G10" s="27" t="s">
        <v>119</v>
      </c>
      <c r="H10" s="27" t="s">
        <v>119</v>
      </c>
      <c r="I10" s="24" t="s">
        <v>120</v>
      </c>
      <c r="J10" s="24" t="s">
        <v>121</v>
      </c>
    </row>
    <row r="11" customFormat="false" ht="16.5" hidden="false" customHeight="true" outlineLevel="0" collapsed="false">
      <c r="A11" s="24" t="s">
        <v>5</v>
      </c>
      <c r="B11" s="25" t="s">
        <v>12</v>
      </c>
      <c r="C11" s="26" t="n">
        <v>2</v>
      </c>
      <c r="D11" s="25" t="s">
        <v>16</v>
      </c>
      <c r="E11" s="24" t="s">
        <v>11</v>
      </c>
      <c r="F11" s="24" t="s">
        <v>122</v>
      </c>
      <c r="G11" s="27" t="s">
        <v>123</v>
      </c>
      <c r="H11" s="27" t="s">
        <v>123</v>
      </c>
      <c r="I11" s="24" t="s">
        <v>120</v>
      </c>
      <c r="J11" s="24" t="s">
        <v>121</v>
      </c>
    </row>
    <row r="12" customFormat="false" ht="16.5" hidden="false" customHeight="true" outlineLevel="0" collapsed="false">
      <c r="A12" s="24" t="s">
        <v>5</v>
      </c>
      <c r="B12" s="25" t="s">
        <v>12</v>
      </c>
      <c r="C12" s="26" t="n">
        <v>2</v>
      </c>
      <c r="D12" s="25" t="s">
        <v>16</v>
      </c>
      <c r="E12" s="25" t="s">
        <v>124</v>
      </c>
      <c r="F12" s="24" t="s">
        <v>125</v>
      </c>
      <c r="G12" s="27" t="s">
        <v>126</v>
      </c>
      <c r="H12" s="27" t="s">
        <v>126</v>
      </c>
      <c r="I12" s="24" t="s">
        <v>127</v>
      </c>
      <c r="J12" s="24" t="s">
        <v>128</v>
      </c>
    </row>
    <row r="13" customFormat="false" ht="16.5" hidden="false" customHeight="true" outlineLevel="0" collapsed="false">
      <c r="A13" s="24" t="s">
        <v>5</v>
      </c>
      <c r="B13" s="25" t="s">
        <v>12</v>
      </c>
      <c r="C13" s="26" t="n">
        <v>2</v>
      </c>
      <c r="D13" s="25" t="s">
        <v>16</v>
      </c>
      <c r="E13" s="25" t="s">
        <v>124</v>
      </c>
      <c r="F13" s="24" t="s">
        <v>129</v>
      </c>
      <c r="G13" s="27" t="s">
        <v>130</v>
      </c>
      <c r="H13" s="27" t="s">
        <v>130</v>
      </c>
      <c r="I13" s="24" t="s">
        <v>127</v>
      </c>
      <c r="J13" s="24" t="s">
        <v>128</v>
      </c>
    </row>
    <row r="14" customFormat="false" ht="16.5" hidden="false" customHeight="true" outlineLevel="0" collapsed="false">
      <c r="A14" s="24" t="s">
        <v>5</v>
      </c>
      <c r="B14" s="25" t="s">
        <v>12</v>
      </c>
      <c r="C14" s="26" t="n">
        <v>3</v>
      </c>
      <c r="D14" s="24" t="s">
        <v>20</v>
      </c>
      <c r="E14" s="24" t="s">
        <v>20</v>
      </c>
      <c r="F14" s="24" t="s">
        <v>131</v>
      </c>
      <c r="G14" s="27" t="s">
        <v>132</v>
      </c>
      <c r="H14" s="27" t="s">
        <v>132</v>
      </c>
      <c r="I14" s="24" t="s">
        <v>102</v>
      </c>
      <c r="J14" s="25"/>
    </row>
    <row r="15" customFormat="false" ht="16.5" hidden="false" customHeight="true" outlineLevel="0" collapsed="false">
      <c r="A15" s="24" t="s">
        <v>5</v>
      </c>
      <c r="B15" s="25" t="s">
        <v>12</v>
      </c>
      <c r="C15" s="26" t="n">
        <v>3</v>
      </c>
      <c r="D15" s="24" t="s">
        <v>20</v>
      </c>
      <c r="E15" s="24" t="s">
        <v>20</v>
      </c>
      <c r="F15" s="25" t="s">
        <v>133</v>
      </c>
      <c r="G15" s="27" t="s">
        <v>134</v>
      </c>
      <c r="H15" s="27" t="s">
        <v>134</v>
      </c>
      <c r="I15" s="24" t="s">
        <v>102</v>
      </c>
      <c r="J15" s="25"/>
    </row>
    <row r="16" customFormat="false" ht="16.5" hidden="false" customHeight="true" outlineLevel="0" collapsed="false">
      <c r="A16" s="24" t="s">
        <v>5</v>
      </c>
      <c r="B16" s="25" t="s">
        <v>12</v>
      </c>
      <c r="C16" s="26" t="n">
        <v>3</v>
      </c>
      <c r="D16" s="24" t="s">
        <v>20</v>
      </c>
      <c r="E16" s="24" t="s">
        <v>20</v>
      </c>
      <c r="F16" s="25" t="s">
        <v>135</v>
      </c>
      <c r="G16" s="27" t="s">
        <v>136</v>
      </c>
      <c r="H16" s="27" t="s">
        <v>136</v>
      </c>
      <c r="I16" s="24" t="s">
        <v>102</v>
      </c>
      <c r="J16" s="25"/>
    </row>
    <row r="17" customFormat="false" ht="16.5" hidden="false" customHeight="true" outlineLevel="0" collapsed="false">
      <c r="A17" s="24" t="s">
        <v>5</v>
      </c>
      <c r="B17" s="25" t="s">
        <v>12</v>
      </c>
      <c r="C17" s="26" t="n">
        <v>4</v>
      </c>
      <c r="D17" s="24" t="s">
        <v>24</v>
      </c>
      <c r="E17" s="24" t="s">
        <v>24</v>
      </c>
      <c r="F17" s="24" t="s">
        <v>25</v>
      </c>
      <c r="G17" s="27" t="s">
        <v>137</v>
      </c>
      <c r="H17" s="27" t="s">
        <v>137</v>
      </c>
      <c r="I17" s="24" t="s">
        <v>102</v>
      </c>
      <c r="J17" s="25"/>
    </row>
    <row r="18" customFormat="false" ht="16.5" hidden="false" customHeight="true" outlineLevel="0" collapsed="false">
      <c r="A18" s="24" t="s">
        <v>5</v>
      </c>
      <c r="B18" s="25" t="s">
        <v>12</v>
      </c>
      <c r="C18" s="26" t="n">
        <v>5</v>
      </c>
      <c r="D18" s="24" t="s">
        <v>26</v>
      </c>
      <c r="E18" s="24" t="s">
        <v>26</v>
      </c>
      <c r="F18" s="25" t="s">
        <v>27</v>
      </c>
      <c r="G18" s="27" t="s">
        <v>138</v>
      </c>
      <c r="H18" s="27" t="s">
        <v>138</v>
      </c>
      <c r="I18" s="24" t="s">
        <v>102</v>
      </c>
      <c r="J18" s="25"/>
    </row>
    <row r="19" customFormat="false" ht="16.5" hidden="false" customHeight="true" outlineLevel="0" collapsed="false">
      <c r="A19" s="24" t="s">
        <v>5</v>
      </c>
      <c r="B19" s="25" t="s">
        <v>12</v>
      </c>
      <c r="C19" s="26" t="n">
        <v>6</v>
      </c>
      <c r="D19" s="24" t="s">
        <v>29</v>
      </c>
      <c r="E19" s="24" t="s">
        <v>29</v>
      </c>
      <c r="F19" s="25" t="s">
        <v>139</v>
      </c>
      <c r="G19" s="27" t="s">
        <v>140</v>
      </c>
      <c r="H19" s="27" t="s">
        <v>140</v>
      </c>
      <c r="I19" s="24" t="s">
        <v>102</v>
      </c>
      <c r="J19" s="25"/>
    </row>
    <row r="20" customFormat="false" ht="16.5" hidden="false" customHeight="true" outlineLevel="0" collapsed="false">
      <c r="A20" s="24" t="s">
        <v>5</v>
      </c>
      <c r="B20" s="25" t="s">
        <v>12</v>
      </c>
      <c r="C20" s="26" t="n">
        <v>6</v>
      </c>
      <c r="D20" s="24" t="s">
        <v>29</v>
      </c>
      <c r="E20" s="24" t="s">
        <v>29</v>
      </c>
      <c r="F20" s="24" t="s">
        <v>141</v>
      </c>
      <c r="G20" s="27" t="s">
        <v>142</v>
      </c>
      <c r="H20" s="27" t="s">
        <v>142</v>
      </c>
      <c r="I20" s="24" t="s">
        <v>102</v>
      </c>
      <c r="J20" s="25"/>
    </row>
    <row r="21" customFormat="false" ht="16.5" hidden="false" customHeight="true" outlineLevel="0" collapsed="false">
      <c r="A21" s="24" t="s">
        <v>5</v>
      </c>
      <c r="B21" s="25" t="s">
        <v>12</v>
      </c>
      <c r="C21" s="26" t="n">
        <v>6</v>
      </c>
      <c r="D21" s="24" t="s">
        <v>29</v>
      </c>
      <c r="E21" s="24" t="s">
        <v>29</v>
      </c>
      <c r="F21" s="24" t="s">
        <v>143</v>
      </c>
      <c r="G21" s="27" t="s">
        <v>144</v>
      </c>
      <c r="H21" s="27" t="s">
        <v>144</v>
      </c>
      <c r="I21" s="24" t="s">
        <v>102</v>
      </c>
      <c r="J21" s="25"/>
    </row>
    <row r="22" customFormat="false" ht="16.5" hidden="false" customHeight="true" outlineLevel="0" collapsed="false">
      <c r="A22" s="24" t="s">
        <v>5</v>
      </c>
      <c r="B22" s="25" t="s">
        <v>12</v>
      </c>
      <c r="C22" s="26" t="n">
        <v>6</v>
      </c>
      <c r="D22" s="24" t="s">
        <v>29</v>
      </c>
      <c r="E22" s="24" t="s">
        <v>29</v>
      </c>
      <c r="F22" s="24" t="s">
        <v>145</v>
      </c>
      <c r="G22" s="27" t="s">
        <v>146</v>
      </c>
      <c r="H22" s="27" t="s">
        <v>146</v>
      </c>
      <c r="I22" s="24" t="s">
        <v>102</v>
      </c>
      <c r="J22" s="25"/>
    </row>
    <row r="23" customFormat="false" ht="16.5" hidden="false" customHeight="true" outlineLevel="0" collapsed="false">
      <c r="A23" s="24" t="s">
        <v>5</v>
      </c>
      <c r="B23" s="25" t="s">
        <v>12</v>
      </c>
      <c r="C23" s="26" t="n">
        <v>6</v>
      </c>
      <c r="D23" s="24" t="s">
        <v>29</v>
      </c>
      <c r="E23" s="24" t="s">
        <v>29</v>
      </c>
      <c r="F23" s="24" t="s">
        <v>147</v>
      </c>
      <c r="G23" s="27" t="s">
        <v>148</v>
      </c>
      <c r="H23" s="27" t="s">
        <v>148</v>
      </c>
      <c r="I23" s="24" t="s">
        <v>102</v>
      </c>
      <c r="J23" s="25"/>
    </row>
    <row r="24" customFormat="false" ht="16.5" hidden="false" customHeight="true" outlineLevel="0" collapsed="false">
      <c r="A24" s="24" t="s">
        <v>5</v>
      </c>
      <c r="B24" s="25" t="s">
        <v>12</v>
      </c>
      <c r="C24" s="26" t="n">
        <v>6</v>
      </c>
      <c r="D24" s="24" t="s">
        <v>29</v>
      </c>
      <c r="E24" s="24" t="s">
        <v>29</v>
      </c>
      <c r="F24" s="24" t="s">
        <v>149</v>
      </c>
      <c r="G24" s="27" t="s">
        <v>150</v>
      </c>
      <c r="H24" s="27" t="s">
        <v>150</v>
      </c>
      <c r="I24" s="24" t="s">
        <v>102</v>
      </c>
      <c r="J24" s="25"/>
    </row>
    <row r="25" customFormat="false" ht="16.5" hidden="false" customHeight="true" outlineLevel="0" collapsed="false">
      <c r="A25" s="24" t="s">
        <v>5</v>
      </c>
      <c r="B25" s="25" t="s">
        <v>12</v>
      </c>
      <c r="C25" s="26" t="n">
        <v>6</v>
      </c>
      <c r="D25" s="24" t="s">
        <v>29</v>
      </c>
      <c r="E25" s="24" t="s">
        <v>29</v>
      </c>
      <c r="F25" s="24" t="s">
        <v>151</v>
      </c>
      <c r="G25" s="27" t="s">
        <v>152</v>
      </c>
      <c r="H25" s="27" t="s">
        <v>152</v>
      </c>
      <c r="I25" s="24" t="s">
        <v>102</v>
      </c>
      <c r="J25" s="25"/>
    </row>
    <row r="26" customFormat="false" ht="16.5" hidden="false" customHeight="true" outlineLevel="0" collapsed="false">
      <c r="A26" s="24" t="s">
        <v>5</v>
      </c>
      <c r="B26" s="25" t="s">
        <v>12</v>
      </c>
      <c r="C26" s="26" t="n">
        <v>6</v>
      </c>
      <c r="D26" s="24" t="s">
        <v>29</v>
      </c>
      <c r="E26" s="24" t="s">
        <v>29</v>
      </c>
      <c r="F26" s="24" t="s">
        <v>153</v>
      </c>
      <c r="G26" s="27" t="s">
        <v>154</v>
      </c>
      <c r="H26" s="27" t="s">
        <v>154</v>
      </c>
      <c r="I26" s="24" t="s">
        <v>102</v>
      </c>
      <c r="J26" s="24" t="s">
        <v>155</v>
      </c>
    </row>
    <row r="27" customFormat="false" ht="16.5" hidden="false" customHeight="true" outlineLevel="0" collapsed="false">
      <c r="A27" s="24" t="s">
        <v>5</v>
      </c>
      <c r="B27" s="25" t="s">
        <v>12</v>
      </c>
      <c r="C27" s="26" t="n">
        <v>6</v>
      </c>
      <c r="D27" s="24" t="s">
        <v>29</v>
      </c>
      <c r="E27" s="24" t="s">
        <v>29</v>
      </c>
      <c r="F27" s="24" t="s">
        <v>156</v>
      </c>
      <c r="G27" s="27" t="s">
        <v>157</v>
      </c>
      <c r="H27" s="27" t="s">
        <v>157</v>
      </c>
      <c r="I27" s="24" t="s">
        <v>102</v>
      </c>
      <c r="J27" s="25"/>
    </row>
    <row r="28" customFormat="false" ht="16.5" hidden="false" customHeight="true" outlineLevel="0" collapsed="false">
      <c r="A28" s="24" t="s">
        <v>5</v>
      </c>
      <c r="B28" s="25" t="s">
        <v>12</v>
      </c>
      <c r="C28" s="26" t="n">
        <v>6</v>
      </c>
      <c r="D28" s="24" t="s">
        <v>29</v>
      </c>
      <c r="E28" s="24" t="s">
        <v>29</v>
      </c>
      <c r="F28" s="24" t="s">
        <v>158</v>
      </c>
      <c r="G28" s="27" t="s">
        <v>159</v>
      </c>
      <c r="H28" s="27" t="s">
        <v>159</v>
      </c>
      <c r="I28" s="24" t="s">
        <v>102</v>
      </c>
      <c r="J28" s="25"/>
    </row>
    <row r="29" customFormat="false" ht="16.5" hidden="false" customHeight="true" outlineLevel="0" collapsed="false">
      <c r="A29" s="24" t="s">
        <v>5</v>
      </c>
      <c r="B29" s="25" t="s">
        <v>12</v>
      </c>
      <c r="C29" s="26" t="n">
        <v>6</v>
      </c>
      <c r="D29" s="24" t="s">
        <v>29</v>
      </c>
      <c r="E29" s="24" t="s">
        <v>29</v>
      </c>
      <c r="F29" s="24" t="s">
        <v>160</v>
      </c>
      <c r="G29" s="27" t="s">
        <v>161</v>
      </c>
      <c r="H29" s="27" t="s">
        <v>161</v>
      </c>
      <c r="I29" s="24" t="s">
        <v>102</v>
      </c>
      <c r="J29" s="25"/>
    </row>
    <row r="30" customFormat="false" ht="16.5" hidden="false" customHeight="true" outlineLevel="0" collapsed="false">
      <c r="A30" s="24" t="s">
        <v>5</v>
      </c>
      <c r="B30" s="25" t="s">
        <v>12</v>
      </c>
      <c r="C30" s="26" t="n">
        <v>6</v>
      </c>
      <c r="D30" s="24" t="s">
        <v>29</v>
      </c>
      <c r="E30" s="24" t="s">
        <v>162</v>
      </c>
      <c r="F30" s="24" t="s">
        <v>163</v>
      </c>
      <c r="G30" s="27" t="s">
        <v>164</v>
      </c>
      <c r="H30" s="27" t="s">
        <v>164</v>
      </c>
      <c r="I30" s="24" t="s">
        <v>120</v>
      </c>
      <c r="J30" s="24" t="s">
        <v>165</v>
      </c>
    </row>
    <row r="31" customFormat="false" ht="16.5" hidden="false" customHeight="true" outlineLevel="0" collapsed="false">
      <c r="A31" s="24" t="s">
        <v>5</v>
      </c>
      <c r="B31" s="25" t="s">
        <v>12</v>
      </c>
      <c r="C31" s="26" t="n">
        <v>7</v>
      </c>
      <c r="D31" s="24" t="s">
        <v>33</v>
      </c>
      <c r="E31" s="24" t="s">
        <v>33</v>
      </c>
      <c r="F31" s="24" t="s">
        <v>166</v>
      </c>
      <c r="G31" s="27" t="s">
        <v>167</v>
      </c>
      <c r="H31" s="27" t="s">
        <v>167</v>
      </c>
      <c r="I31" s="24" t="s">
        <v>102</v>
      </c>
      <c r="J31" s="25"/>
    </row>
    <row r="32" customFormat="false" ht="16.5" hidden="false" customHeight="true" outlineLevel="0" collapsed="false">
      <c r="A32" s="24" t="s">
        <v>5</v>
      </c>
      <c r="B32" s="25" t="s">
        <v>12</v>
      </c>
      <c r="C32" s="26" t="n">
        <v>7</v>
      </c>
      <c r="D32" s="24" t="s">
        <v>33</v>
      </c>
      <c r="E32" s="24" t="s">
        <v>33</v>
      </c>
      <c r="F32" s="24" t="s">
        <v>168</v>
      </c>
      <c r="G32" s="27" t="s">
        <v>169</v>
      </c>
      <c r="H32" s="27" t="s">
        <v>169</v>
      </c>
      <c r="I32" s="24" t="s">
        <v>102</v>
      </c>
      <c r="J32" s="25"/>
    </row>
    <row r="33" customFormat="false" ht="16.5" hidden="false" customHeight="true" outlineLevel="0" collapsed="false">
      <c r="A33" s="24" t="s">
        <v>5</v>
      </c>
      <c r="B33" s="25" t="s">
        <v>12</v>
      </c>
      <c r="C33" s="26" t="n">
        <v>7</v>
      </c>
      <c r="D33" s="24" t="s">
        <v>33</v>
      </c>
      <c r="E33" s="24" t="s">
        <v>33</v>
      </c>
      <c r="F33" s="24" t="s">
        <v>170</v>
      </c>
      <c r="G33" s="27" t="s">
        <v>171</v>
      </c>
      <c r="H33" s="27" t="s">
        <v>171</v>
      </c>
      <c r="I33" s="24" t="s">
        <v>102</v>
      </c>
      <c r="J33" s="25"/>
    </row>
    <row r="34" customFormat="false" ht="16.5" hidden="false" customHeight="true" outlineLevel="0" collapsed="false">
      <c r="A34" s="24" t="s">
        <v>5</v>
      </c>
      <c r="B34" s="25" t="s">
        <v>12</v>
      </c>
      <c r="C34" s="26" t="n">
        <v>7</v>
      </c>
      <c r="D34" s="24" t="s">
        <v>33</v>
      </c>
      <c r="E34" s="24" t="s">
        <v>33</v>
      </c>
      <c r="F34" s="24" t="s">
        <v>172</v>
      </c>
      <c r="G34" s="27" t="s">
        <v>173</v>
      </c>
      <c r="H34" s="27" t="s">
        <v>173</v>
      </c>
      <c r="I34" s="24" t="s">
        <v>102</v>
      </c>
      <c r="J34" s="25"/>
    </row>
    <row r="35" customFormat="false" ht="16.5" hidden="false" customHeight="true" outlineLevel="0" collapsed="false">
      <c r="A35" s="24" t="s">
        <v>5</v>
      </c>
      <c r="B35" s="25" t="s">
        <v>12</v>
      </c>
      <c r="C35" s="26" t="n">
        <v>7</v>
      </c>
      <c r="D35" s="24" t="s">
        <v>33</v>
      </c>
      <c r="E35" s="24" t="s">
        <v>33</v>
      </c>
      <c r="F35" s="24" t="s">
        <v>174</v>
      </c>
      <c r="G35" s="27" t="s">
        <v>175</v>
      </c>
      <c r="H35" s="27" t="s">
        <v>175</v>
      </c>
      <c r="I35" s="24" t="s">
        <v>102</v>
      </c>
      <c r="J35" s="25"/>
    </row>
    <row r="36" customFormat="false" ht="16.5" hidden="false" customHeight="true" outlineLevel="0" collapsed="false">
      <c r="A36" s="24" t="s">
        <v>5</v>
      </c>
      <c r="B36" s="25" t="s">
        <v>12</v>
      </c>
      <c r="C36" s="26" t="n">
        <v>7</v>
      </c>
      <c r="D36" s="24" t="s">
        <v>33</v>
      </c>
      <c r="E36" s="24" t="s">
        <v>33</v>
      </c>
      <c r="F36" s="24" t="s">
        <v>176</v>
      </c>
      <c r="G36" s="27" t="s">
        <v>177</v>
      </c>
      <c r="H36" s="27" t="s">
        <v>177</v>
      </c>
      <c r="I36" s="24" t="s">
        <v>102</v>
      </c>
      <c r="J36" s="25"/>
    </row>
    <row r="37" customFormat="false" ht="16.5" hidden="false" customHeight="true" outlineLevel="0" collapsed="false">
      <c r="A37" s="24" t="s">
        <v>5</v>
      </c>
      <c r="B37" s="25" t="s">
        <v>12</v>
      </c>
      <c r="C37" s="26" t="n">
        <v>7</v>
      </c>
      <c r="D37" s="24" t="s">
        <v>33</v>
      </c>
      <c r="E37" s="24" t="s">
        <v>33</v>
      </c>
      <c r="F37" s="24" t="s">
        <v>178</v>
      </c>
      <c r="G37" s="27" t="s">
        <v>179</v>
      </c>
      <c r="H37" s="27" t="s">
        <v>179</v>
      </c>
      <c r="I37" s="24" t="s">
        <v>102</v>
      </c>
      <c r="J37" s="25"/>
    </row>
    <row r="38" customFormat="false" ht="16.5" hidden="false" customHeight="true" outlineLevel="0" collapsed="false">
      <c r="A38" s="24" t="s">
        <v>5</v>
      </c>
      <c r="B38" s="25" t="s">
        <v>12</v>
      </c>
      <c r="C38" s="26" t="n">
        <v>7</v>
      </c>
      <c r="D38" s="24" t="s">
        <v>33</v>
      </c>
      <c r="E38" s="24" t="s">
        <v>33</v>
      </c>
      <c r="F38" s="24" t="s">
        <v>180</v>
      </c>
      <c r="G38" s="27" t="s">
        <v>181</v>
      </c>
      <c r="H38" s="27" t="s">
        <v>181</v>
      </c>
      <c r="I38" s="24" t="s">
        <v>102</v>
      </c>
      <c r="J38" s="24" t="s">
        <v>155</v>
      </c>
    </row>
    <row r="39" customFormat="false" ht="16.5" hidden="false" customHeight="true" outlineLevel="0" collapsed="false">
      <c r="A39" s="24" t="s">
        <v>5</v>
      </c>
      <c r="B39" s="25" t="s">
        <v>12</v>
      </c>
      <c r="C39" s="26" t="n">
        <v>7</v>
      </c>
      <c r="D39" s="24" t="s">
        <v>33</v>
      </c>
      <c r="E39" s="24" t="s">
        <v>33</v>
      </c>
      <c r="F39" s="24" t="s">
        <v>182</v>
      </c>
      <c r="G39" s="27" t="s">
        <v>183</v>
      </c>
      <c r="H39" s="27" t="s">
        <v>183</v>
      </c>
      <c r="I39" s="24" t="s">
        <v>102</v>
      </c>
      <c r="J39" s="25"/>
    </row>
    <row r="40" customFormat="false" ht="16.5" hidden="false" customHeight="true" outlineLevel="0" collapsed="false">
      <c r="A40" s="24" t="s">
        <v>5</v>
      </c>
      <c r="B40" s="25" t="s">
        <v>12</v>
      </c>
      <c r="C40" s="26" t="n">
        <v>7</v>
      </c>
      <c r="D40" s="24" t="s">
        <v>33</v>
      </c>
      <c r="E40" s="24" t="s">
        <v>33</v>
      </c>
      <c r="F40" s="24" t="s">
        <v>184</v>
      </c>
      <c r="G40" s="27" t="s">
        <v>185</v>
      </c>
      <c r="H40" s="27" t="s">
        <v>185</v>
      </c>
      <c r="I40" s="24" t="s">
        <v>102</v>
      </c>
      <c r="J40" s="24" t="s">
        <v>155</v>
      </c>
    </row>
    <row r="41" customFormat="false" ht="16.5" hidden="false" customHeight="true" outlineLevel="0" collapsed="false">
      <c r="A41" s="24" t="s">
        <v>5</v>
      </c>
      <c r="B41" s="25" t="s">
        <v>12</v>
      </c>
      <c r="C41" s="26" t="n">
        <v>7</v>
      </c>
      <c r="D41" s="24" t="s">
        <v>33</v>
      </c>
      <c r="E41" s="24" t="s">
        <v>33</v>
      </c>
      <c r="F41" s="24" t="s">
        <v>186</v>
      </c>
      <c r="G41" s="27" t="s">
        <v>187</v>
      </c>
      <c r="H41" s="27" t="s">
        <v>187</v>
      </c>
      <c r="I41" s="24" t="s">
        <v>102</v>
      </c>
      <c r="J41" s="25"/>
    </row>
    <row r="42" customFormat="false" ht="16.5" hidden="false" customHeight="true" outlineLevel="0" collapsed="false">
      <c r="A42" s="24" t="s">
        <v>5</v>
      </c>
      <c r="B42" s="25" t="s">
        <v>12</v>
      </c>
      <c r="C42" s="26" t="n">
        <v>7</v>
      </c>
      <c r="D42" s="24" t="s">
        <v>33</v>
      </c>
      <c r="E42" s="24" t="s">
        <v>33</v>
      </c>
      <c r="F42" s="24" t="s">
        <v>188</v>
      </c>
      <c r="G42" s="27" t="s">
        <v>189</v>
      </c>
      <c r="H42" s="27" t="s">
        <v>189</v>
      </c>
      <c r="I42" s="24" t="s">
        <v>102</v>
      </c>
      <c r="J42" s="25"/>
    </row>
    <row r="43" customFormat="false" ht="16.5" hidden="false" customHeight="true" outlineLevel="0" collapsed="false">
      <c r="A43" s="24" t="s">
        <v>5</v>
      </c>
      <c r="B43" s="25" t="s">
        <v>12</v>
      </c>
      <c r="C43" s="26" t="n">
        <v>8</v>
      </c>
      <c r="D43" s="25" t="s">
        <v>37</v>
      </c>
      <c r="E43" s="25" t="s">
        <v>37</v>
      </c>
      <c r="F43" s="24" t="s">
        <v>190</v>
      </c>
      <c r="G43" s="27" t="s">
        <v>191</v>
      </c>
      <c r="H43" s="27" t="s">
        <v>191</v>
      </c>
      <c r="I43" s="24" t="s">
        <v>102</v>
      </c>
      <c r="J43" s="25"/>
    </row>
    <row r="44" customFormat="false" ht="16.5" hidden="false" customHeight="true" outlineLevel="0" collapsed="false">
      <c r="A44" s="24" t="s">
        <v>5</v>
      </c>
      <c r="B44" s="25" t="s">
        <v>12</v>
      </c>
      <c r="C44" s="26" t="n">
        <v>8</v>
      </c>
      <c r="D44" s="25" t="s">
        <v>37</v>
      </c>
      <c r="E44" s="25" t="s">
        <v>37</v>
      </c>
      <c r="F44" s="24" t="s">
        <v>192</v>
      </c>
      <c r="G44" s="27" t="s">
        <v>193</v>
      </c>
      <c r="H44" s="27" t="s">
        <v>193</v>
      </c>
      <c r="I44" s="24" t="s">
        <v>102</v>
      </c>
      <c r="J44" s="25"/>
    </row>
    <row r="45" customFormat="false" ht="16.5" hidden="false" customHeight="true" outlineLevel="0" collapsed="false">
      <c r="A45" s="24" t="s">
        <v>5</v>
      </c>
      <c r="B45" s="25" t="s">
        <v>12</v>
      </c>
      <c r="C45" s="26" t="n">
        <v>8</v>
      </c>
      <c r="D45" s="25" t="s">
        <v>37</v>
      </c>
      <c r="E45" s="25" t="s">
        <v>37</v>
      </c>
      <c r="F45" s="25" t="s">
        <v>194</v>
      </c>
      <c r="G45" s="27" t="s">
        <v>195</v>
      </c>
      <c r="H45" s="27" t="s">
        <v>195</v>
      </c>
      <c r="I45" s="24" t="s">
        <v>102</v>
      </c>
      <c r="J45" s="25"/>
    </row>
    <row r="46" customFormat="false" ht="16.5" hidden="false" customHeight="true" outlineLevel="0" collapsed="false">
      <c r="A46" s="24" t="s">
        <v>5</v>
      </c>
      <c r="B46" s="25" t="s">
        <v>12</v>
      </c>
      <c r="C46" s="26" t="n">
        <v>8</v>
      </c>
      <c r="D46" s="25" t="s">
        <v>37</v>
      </c>
      <c r="E46" s="25" t="s">
        <v>37</v>
      </c>
      <c r="F46" s="24" t="s">
        <v>196</v>
      </c>
      <c r="G46" s="27" t="s">
        <v>197</v>
      </c>
      <c r="H46" s="27" t="s">
        <v>197</v>
      </c>
      <c r="I46" s="24" t="s">
        <v>102</v>
      </c>
      <c r="J46" s="25"/>
    </row>
    <row r="47" customFormat="false" ht="16.5" hidden="false" customHeight="true" outlineLevel="0" collapsed="false">
      <c r="A47" s="24" t="s">
        <v>5</v>
      </c>
      <c r="B47" s="25" t="s">
        <v>12</v>
      </c>
      <c r="C47" s="26" t="n">
        <v>8</v>
      </c>
      <c r="D47" s="25" t="s">
        <v>37</v>
      </c>
      <c r="E47" s="25" t="s">
        <v>37</v>
      </c>
      <c r="F47" s="25" t="s">
        <v>198</v>
      </c>
      <c r="G47" s="27" t="s">
        <v>199</v>
      </c>
      <c r="H47" s="27" t="s">
        <v>199</v>
      </c>
      <c r="I47" s="24" t="s">
        <v>102</v>
      </c>
      <c r="J47" s="25"/>
    </row>
    <row r="48" customFormat="false" ht="16.5" hidden="false" customHeight="true" outlineLevel="0" collapsed="false">
      <c r="A48" s="24" t="s">
        <v>5</v>
      </c>
      <c r="B48" s="25" t="s">
        <v>41</v>
      </c>
      <c r="C48" s="26" t="n">
        <v>9</v>
      </c>
      <c r="D48" s="24" t="s">
        <v>40</v>
      </c>
      <c r="E48" s="24" t="s">
        <v>40</v>
      </c>
      <c r="F48" s="24" t="s">
        <v>200</v>
      </c>
      <c r="G48" s="27" t="s">
        <v>201</v>
      </c>
      <c r="H48" s="27" t="s">
        <v>201</v>
      </c>
      <c r="I48" s="24" t="s">
        <v>102</v>
      </c>
      <c r="J48" s="25"/>
    </row>
    <row r="49" customFormat="false" ht="16.5" hidden="false" customHeight="true" outlineLevel="0" collapsed="false">
      <c r="A49" s="24" t="s">
        <v>5</v>
      </c>
      <c r="B49" s="25" t="s">
        <v>41</v>
      </c>
      <c r="C49" s="26" t="n">
        <v>9</v>
      </c>
      <c r="D49" s="24" t="s">
        <v>40</v>
      </c>
      <c r="E49" s="24" t="s">
        <v>40</v>
      </c>
      <c r="F49" s="25" t="s">
        <v>202</v>
      </c>
      <c r="G49" s="27" t="s">
        <v>203</v>
      </c>
      <c r="H49" s="27" t="s">
        <v>203</v>
      </c>
      <c r="I49" s="24" t="s">
        <v>102</v>
      </c>
      <c r="J49" s="25"/>
    </row>
    <row r="50" customFormat="false" ht="16.5" hidden="false" customHeight="true" outlineLevel="0" collapsed="false">
      <c r="A50" s="24" t="s">
        <v>5</v>
      </c>
      <c r="B50" s="25" t="s">
        <v>41</v>
      </c>
      <c r="C50" s="26" t="n">
        <v>9</v>
      </c>
      <c r="D50" s="24" t="s">
        <v>40</v>
      </c>
      <c r="E50" s="24" t="s">
        <v>40</v>
      </c>
      <c r="F50" s="24" t="s">
        <v>204</v>
      </c>
      <c r="G50" s="27" t="s">
        <v>205</v>
      </c>
      <c r="H50" s="27" t="s">
        <v>205</v>
      </c>
      <c r="I50" s="24" t="s">
        <v>76</v>
      </c>
      <c r="J50" s="24" t="s">
        <v>206</v>
      </c>
    </row>
    <row r="51" customFormat="false" ht="16.5" hidden="false" customHeight="true" outlineLevel="0" collapsed="false">
      <c r="A51" s="24" t="s">
        <v>5</v>
      </c>
      <c r="B51" s="25" t="s">
        <v>41</v>
      </c>
      <c r="C51" s="26" t="n">
        <v>9</v>
      </c>
      <c r="D51" s="24" t="s">
        <v>40</v>
      </c>
      <c r="E51" s="24" t="s">
        <v>40</v>
      </c>
      <c r="F51" s="24" t="s">
        <v>207</v>
      </c>
      <c r="G51" s="27" t="s">
        <v>208</v>
      </c>
      <c r="H51" s="27" t="s">
        <v>208</v>
      </c>
      <c r="I51" s="24" t="s">
        <v>76</v>
      </c>
      <c r="J51" s="25" t="s">
        <v>209</v>
      </c>
    </row>
    <row r="52" customFormat="false" ht="16.5" hidden="false" customHeight="true" outlineLevel="0" collapsed="false">
      <c r="A52" s="24" t="s">
        <v>5</v>
      </c>
      <c r="B52" s="25" t="s">
        <v>41</v>
      </c>
      <c r="C52" s="26" t="n">
        <v>9</v>
      </c>
      <c r="D52" s="24" t="s">
        <v>40</v>
      </c>
      <c r="E52" s="24" t="s">
        <v>40</v>
      </c>
      <c r="F52" s="24" t="s">
        <v>210</v>
      </c>
      <c r="G52" s="27" t="s">
        <v>211</v>
      </c>
      <c r="H52" s="27" t="s">
        <v>211</v>
      </c>
      <c r="I52" s="24" t="s">
        <v>102</v>
      </c>
      <c r="J52" s="25"/>
    </row>
    <row r="53" customFormat="false" ht="16.5" hidden="false" customHeight="true" outlineLevel="0" collapsed="false">
      <c r="A53" s="24" t="s">
        <v>5</v>
      </c>
      <c r="B53" s="25" t="s">
        <v>41</v>
      </c>
      <c r="C53" s="26" t="n">
        <v>9</v>
      </c>
      <c r="D53" s="24" t="s">
        <v>40</v>
      </c>
      <c r="E53" s="24" t="s">
        <v>40</v>
      </c>
      <c r="F53" s="24" t="s">
        <v>212</v>
      </c>
      <c r="G53" s="27" t="s">
        <v>213</v>
      </c>
      <c r="H53" s="27" t="s">
        <v>213</v>
      </c>
      <c r="I53" s="24" t="s">
        <v>102</v>
      </c>
      <c r="J53" s="25"/>
    </row>
    <row r="54" customFormat="false" ht="16.5" hidden="false" customHeight="true" outlineLevel="0" collapsed="false">
      <c r="A54" s="24" t="s">
        <v>5</v>
      </c>
      <c r="B54" s="25" t="s">
        <v>41</v>
      </c>
      <c r="C54" s="26" t="n">
        <v>9</v>
      </c>
      <c r="D54" s="24" t="s">
        <v>40</v>
      </c>
      <c r="E54" s="24" t="s">
        <v>40</v>
      </c>
      <c r="F54" s="24" t="s">
        <v>214</v>
      </c>
      <c r="G54" s="27" t="s">
        <v>215</v>
      </c>
      <c r="H54" s="27" t="s">
        <v>215</v>
      </c>
      <c r="I54" s="24" t="s">
        <v>102</v>
      </c>
      <c r="J54" s="25"/>
    </row>
    <row r="55" customFormat="false" ht="16.5" hidden="false" customHeight="true" outlineLevel="0" collapsed="false">
      <c r="A55" s="24" t="s">
        <v>5</v>
      </c>
      <c r="B55" s="25" t="s">
        <v>41</v>
      </c>
      <c r="C55" s="26" t="n">
        <v>9</v>
      </c>
      <c r="D55" s="24" t="s">
        <v>40</v>
      </c>
      <c r="E55" s="24" t="s">
        <v>40</v>
      </c>
      <c r="F55" s="24" t="s">
        <v>216</v>
      </c>
      <c r="G55" s="27" t="s">
        <v>217</v>
      </c>
      <c r="H55" s="27" t="s">
        <v>217</v>
      </c>
      <c r="I55" s="24" t="s">
        <v>102</v>
      </c>
      <c r="J55" s="25"/>
    </row>
    <row r="56" customFormat="false" ht="16.5" hidden="false" customHeight="true" outlineLevel="0" collapsed="false">
      <c r="A56" s="24" t="s">
        <v>5</v>
      </c>
      <c r="B56" s="25" t="s">
        <v>41</v>
      </c>
      <c r="C56" s="26" t="n">
        <v>9</v>
      </c>
      <c r="D56" s="24" t="s">
        <v>40</v>
      </c>
      <c r="E56" s="24" t="s">
        <v>40</v>
      </c>
      <c r="F56" s="24" t="s">
        <v>218</v>
      </c>
      <c r="G56" s="27" t="s">
        <v>219</v>
      </c>
      <c r="H56" s="27" t="s">
        <v>219</v>
      </c>
      <c r="I56" s="24" t="s">
        <v>102</v>
      </c>
      <c r="J56" s="25"/>
    </row>
    <row r="57" customFormat="false" ht="16.5" hidden="false" customHeight="true" outlineLevel="0" collapsed="false">
      <c r="A57" s="24" t="s">
        <v>5</v>
      </c>
      <c r="B57" s="25" t="s">
        <v>41</v>
      </c>
      <c r="C57" s="26" t="n">
        <v>9</v>
      </c>
      <c r="D57" s="24" t="s">
        <v>40</v>
      </c>
      <c r="E57" s="24" t="s">
        <v>40</v>
      </c>
      <c r="F57" s="24" t="s">
        <v>220</v>
      </c>
      <c r="G57" s="27" t="s">
        <v>221</v>
      </c>
      <c r="H57" s="27" t="s">
        <v>221</v>
      </c>
      <c r="I57" s="24" t="s">
        <v>102</v>
      </c>
      <c r="J57" s="25"/>
    </row>
    <row r="58" customFormat="false" ht="16.5" hidden="false" customHeight="true" outlineLevel="0" collapsed="false">
      <c r="A58" s="24" t="s">
        <v>5</v>
      </c>
      <c r="B58" s="25" t="s">
        <v>41</v>
      </c>
      <c r="C58" s="26" t="n">
        <v>9</v>
      </c>
      <c r="D58" s="24" t="s">
        <v>40</v>
      </c>
      <c r="E58" s="24" t="s">
        <v>40</v>
      </c>
      <c r="F58" s="24" t="s">
        <v>222</v>
      </c>
      <c r="G58" s="27" t="s">
        <v>223</v>
      </c>
      <c r="H58" s="27" t="s">
        <v>223</v>
      </c>
      <c r="I58" s="24" t="s">
        <v>102</v>
      </c>
      <c r="J58" s="25"/>
    </row>
    <row r="59" customFormat="false" ht="16.5" hidden="false" customHeight="true" outlineLevel="0" collapsed="false">
      <c r="A59" s="24" t="s">
        <v>5</v>
      </c>
      <c r="B59" s="25" t="s">
        <v>41</v>
      </c>
      <c r="C59" s="26" t="n">
        <v>9</v>
      </c>
      <c r="D59" s="24" t="s">
        <v>40</v>
      </c>
      <c r="E59" s="24" t="s">
        <v>40</v>
      </c>
      <c r="F59" s="24" t="s">
        <v>224</v>
      </c>
      <c r="G59" s="27" t="s">
        <v>225</v>
      </c>
      <c r="H59" s="27" t="s">
        <v>225</v>
      </c>
      <c r="I59" s="24" t="s">
        <v>102</v>
      </c>
      <c r="J59" s="25"/>
    </row>
    <row r="60" customFormat="false" ht="16.5" hidden="false" customHeight="true" outlineLevel="0" collapsed="false">
      <c r="A60" s="24" t="s">
        <v>5</v>
      </c>
      <c r="B60" s="25" t="s">
        <v>41</v>
      </c>
      <c r="C60" s="26" t="n">
        <v>10</v>
      </c>
      <c r="D60" s="24" t="s">
        <v>45</v>
      </c>
      <c r="E60" s="24" t="s">
        <v>40</v>
      </c>
      <c r="F60" s="24" t="s">
        <v>226</v>
      </c>
      <c r="G60" s="27" t="s">
        <v>227</v>
      </c>
      <c r="H60" s="27" t="s">
        <v>227</v>
      </c>
      <c r="I60" s="24" t="s">
        <v>120</v>
      </c>
      <c r="J60" s="24" t="s">
        <v>228</v>
      </c>
    </row>
    <row r="61" customFormat="false" ht="16.5" hidden="false" customHeight="true" outlineLevel="0" collapsed="false">
      <c r="A61" s="24" t="s">
        <v>5</v>
      </c>
      <c r="B61" s="25" t="s">
        <v>41</v>
      </c>
      <c r="C61" s="26" t="n">
        <v>10</v>
      </c>
      <c r="D61" s="24" t="s">
        <v>45</v>
      </c>
      <c r="E61" s="24" t="s">
        <v>40</v>
      </c>
      <c r="F61" s="24" t="s">
        <v>229</v>
      </c>
      <c r="G61" s="27" t="s">
        <v>230</v>
      </c>
      <c r="H61" s="27" t="s">
        <v>230</v>
      </c>
      <c r="I61" s="24" t="s">
        <v>120</v>
      </c>
      <c r="J61" s="24" t="s">
        <v>228</v>
      </c>
    </row>
    <row r="62" customFormat="false" ht="16.5" hidden="false" customHeight="true" outlineLevel="0" collapsed="false">
      <c r="A62" s="24" t="s">
        <v>5</v>
      </c>
      <c r="B62" s="25" t="s">
        <v>41</v>
      </c>
      <c r="C62" s="26" t="n">
        <v>10</v>
      </c>
      <c r="D62" s="24" t="s">
        <v>45</v>
      </c>
      <c r="E62" s="24" t="s">
        <v>40</v>
      </c>
      <c r="F62" s="24" t="s">
        <v>231</v>
      </c>
      <c r="G62" s="27" t="s">
        <v>232</v>
      </c>
      <c r="H62" s="27" t="s">
        <v>232</v>
      </c>
      <c r="I62" s="24" t="s">
        <v>120</v>
      </c>
      <c r="J62" s="24" t="s">
        <v>233</v>
      </c>
    </row>
    <row r="63" customFormat="false" ht="16.5" hidden="false" customHeight="true" outlineLevel="0" collapsed="false">
      <c r="A63" s="24" t="s">
        <v>5</v>
      </c>
      <c r="B63" s="25" t="s">
        <v>41</v>
      </c>
      <c r="C63" s="26" t="n">
        <v>10</v>
      </c>
      <c r="D63" s="24" t="s">
        <v>45</v>
      </c>
      <c r="E63" s="25" t="s">
        <v>124</v>
      </c>
      <c r="F63" s="24" t="s">
        <v>234</v>
      </c>
      <c r="G63" s="27" t="s">
        <v>235</v>
      </c>
      <c r="H63" s="27" t="s">
        <v>235</v>
      </c>
      <c r="I63" s="24" t="s">
        <v>127</v>
      </c>
      <c r="J63" s="24" t="s">
        <v>236</v>
      </c>
    </row>
    <row r="64" customFormat="false" ht="16.5" hidden="false" customHeight="true" outlineLevel="0" collapsed="false">
      <c r="A64" s="24" t="s">
        <v>5</v>
      </c>
      <c r="B64" s="25" t="s">
        <v>41</v>
      </c>
      <c r="C64" s="26" t="n">
        <v>13</v>
      </c>
      <c r="D64" s="24" t="s">
        <v>52</v>
      </c>
      <c r="E64" s="24" t="s">
        <v>52</v>
      </c>
      <c r="F64" s="25" t="s">
        <v>237</v>
      </c>
      <c r="G64" s="27" t="s">
        <v>238</v>
      </c>
      <c r="H64" s="27" t="s">
        <v>238</v>
      </c>
      <c r="I64" s="24" t="s">
        <v>102</v>
      </c>
      <c r="J64" s="25"/>
    </row>
    <row r="65" customFormat="false" ht="16.5" hidden="false" customHeight="true" outlineLevel="0" collapsed="false">
      <c r="A65" s="24" t="s">
        <v>5</v>
      </c>
      <c r="B65" s="25" t="s">
        <v>41</v>
      </c>
      <c r="C65" s="26" t="n">
        <v>13</v>
      </c>
      <c r="D65" s="24" t="s">
        <v>52</v>
      </c>
      <c r="E65" s="24" t="s">
        <v>52</v>
      </c>
      <c r="F65" s="24" t="s">
        <v>239</v>
      </c>
      <c r="G65" s="27" t="s">
        <v>240</v>
      </c>
      <c r="H65" s="27" t="s">
        <v>240</v>
      </c>
      <c r="I65" s="24" t="s">
        <v>102</v>
      </c>
      <c r="J65" s="25"/>
    </row>
    <row r="66" customFormat="false" ht="16.5" hidden="false" customHeight="true" outlineLevel="0" collapsed="false">
      <c r="A66" s="24" t="s">
        <v>5</v>
      </c>
      <c r="B66" s="25" t="s">
        <v>41</v>
      </c>
      <c r="C66" s="26" t="n">
        <v>13</v>
      </c>
      <c r="D66" s="24" t="s">
        <v>52</v>
      </c>
      <c r="E66" s="24" t="s">
        <v>52</v>
      </c>
      <c r="F66" s="24" t="s">
        <v>241</v>
      </c>
      <c r="G66" s="27" t="s">
        <v>242</v>
      </c>
      <c r="H66" s="27" t="s">
        <v>242</v>
      </c>
      <c r="I66" s="24" t="s">
        <v>102</v>
      </c>
      <c r="J66" s="25"/>
    </row>
    <row r="67" customFormat="false" ht="16.5" hidden="false" customHeight="true" outlineLevel="0" collapsed="false">
      <c r="A67" s="24" t="s">
        <v>5</v>
      </c>
      <c r="B67" s="25" t="s">
        <v>41</v>
      </c>
      <c r="C67" s="26" t="n">
        <v>14</v>
      </c>
      <c r="D67" s="25" t="s">
        <v>55</v>
      </c>
      <c r="E67" s="25" t="s">
        <v>243</v>
      </c>
      <c r="F67" s="25" t="s">
        <v>244</v>
      </c>
      <c r="G67" s="27" t="s">
        <v>245</v>
      </c>
      <c r="H67" s="27" t="s">
        <v>245</v>
      </c>
      <c r="I67" s="24" t="s">
        <v>102</v>
      </c>
      <c r="J67" s="24" t="s">
        <v>155</v>
      </c>
    </row>
    <row r="68" customFormat="false" ht="16.5" hidden="false" customHeight="true" outlineLevel="0" collapsed="false">
      <c r="A68" s="24" t="s">
        <v>5</v>
      </c>
      <c r="B68" s="25" t="s">
        <v>41</v>
      </c>
      <c r="C68" s="26" t="n">
        <v>14</v>
      </c>
      <c r="D68" s="25" t="s">
        <v>55</v>
      </c>
      <c r="E68" s="25" t="s">
        <v>243</v>
      </c>
      <c r="F68" s="24" t="s">
        <v>246</v>
      </c>
      <c r="G68" s="27" t="s">
        <v>247</v>
      </c>
      <c r="H68" s="27" t="s">
        <v>247</v>
      </c>
      <c r="I68" s="24" t="s">
        <v>102</v>
      </c>
      <c r="J68" s="25"/>
    </row>
    <row r="69" customFormat="false" ht="16.5" hidden="false" customHeight="true" outlineLevel="0" collapsed="false">
      <c r="A69" s="24" t="s">
        <v>5</v>
      </c>
      <c r="B69" s="25" t="s">
        <v>41</v>
      </c>
      <c r="C69" s="26" t="n">
        <v>14</v>
      </c>
      <c r="D69" s="25" t="s">
        <v>55</v>
      </c>
      <c r="E69" s="25" t="s">
        <v>243</v>
      </c>
      <c r="F69" s="24" t="s">
        <v>248</v>
      </c>
      <c r="G69" s="27" t="s">
        <v>249</v>
      </c>
      <c r="H69" s="27" t="s">
        <v>249</v>
      </c>
      <c r="I69" s="24" t="s">
        <v>102</v>
      </c>
      <c r="J69" s="25"/>
    </row>
    <row r="70" customFormat="false" ht="16.5" hidden="false" customHeight="true" outlineLevel="0" collapsed="false">
      <c r="A70" s="24" t="s">
        <v>5</v>
      </c>
      <c r="B70" s="25" t="s">
        <v>41</v>
      </c>
      <c r="C70" s="26" t="n">
        <v>14</v>
      </c>
      <c r="D70" s="25" t="s">
        <v>55</v>
      </c>
      <c r="E70" s="25" t="s">
        <v>243</v>
      </c>
      <c r="F70" s="24" t="s">
        <v>250</v>
      </c>
      <c r="G70" s="27" t="s">
        <v>251</v>
      </c>
      <c r="H70" s="27" t="s">
        <v>251</v>
      </c>
      <c r="I70" s="24" t="s">
        <v>102</v>
      </c>
      <c r="J70" s="25"/>
    </row>
    <row r="71" customFormat="false" ht="16.5" hidden="false" customHeight="true" outlineLevel="0" collapsed="false">
      <c r="A71" s="24" t="s">
        <v>5</v>
      </c>
      <c r="B71" s="25" t="s">
        <v>41</v>
      </c>
      <c r="C71" s="26" t="n">
        <v>14</v>
      </c>
      <c r="D71" s="25" t="s">
        <v>55</v>
      </c>
      <c r="E71" s="25" t="s">
        <v>243</v>
      </c>
      <c r="F71" s="24" t="s">
        <v>252</v>
      </c>
      <c r="G71" s="27" t="s">
        <v>253</v>
      </c>
      <c r="H71" s="27" t="s">
        <v>253</v>
      </c>
      <c r="I71" s="24" t="s">
        <v>102</v>
      </c>
      <c r="J71" s="25"/>
    </row>
    <row r="72" customFormat="false" ht="16.5" hidden="false" customHeight="true" outlineLevel="0" collapsed="false">
      <c r="A72" s="24" t="s">
        <v>5</v>
      </c>
      <c r="B72" s="25" t="s">
        <v>41</v>
      </c>
      <c r="C72" s="26" t="n">
        <v>14</v>
      </c>
      <c r="D72" s="25" t="s">
        <v>55</v>
      </c>
      <c r="E72" s="25" t="s">
        <v>243</v>
      </c>
      <c r="F72" s="24" t="s">
        <v>254</v>
      </c>
      <c r="G72" s="27" t="s">
        <v>255</v>
      </c>
      <c r="H72" s="27" t="s">
        <v>255</v>
      </c>
      <c r="I72" s="24" t="s">
        <v>102</v>
      </c>
      <c r="J72" s="25"/>
    </row>
    <row r="73" customFormat="false" ht="16.5" hidden="false" customHeight="true" outlineLevel="0" collapsed="false">
      <c r="A73" s="24" t="s">
        <v>5</v>
      </c>
      <c r="B73" s="25" t="s">
        <v>41</v>
      </c>
      <c r="C73" s="26" t="n">
        <v>14</v>
      </c>
      <c r="D73" s="25" t="s">
        <v>55</v>
      </c>
      <c r="E73" s="24" t="s">
        <v>40</v>
      </c>
      <c r="F73" s="24" t="s">
        <v>256</v>
      </c>
      <c r="G73" s="27" t="s">
        <v>257</v>
      </c>
      <c r="H73" s="27" t="s">
        <v>257</v>
      </c>
      <c r="I73" s="24" t="s">
        <v>120</v>
      </c>
      <c r="J73" s="25" t="s">
        <v>258</v>
      </c>
    </row>
    <row r="74" customFormat="false" ht="16.5" hidden="false" customHeight="true" outlineLevel="0" collapsed="false">
      <c r="A74" s="24" t="s">
        <v>5</v>
      </c>
      <c r="B74" s="25" t="s">
        <v>41</v>
      </c>
      <c r="C74" s="26" t="n">
        <v>15</v>
      </c>
      <c r="D74" s="24" t="s">
        <v>59</v>
      </c>
      <c r="E74" s="25" t="s">
        <v>259</v>
      </c>
      <c r="F74" s="25" t="s">
        <v>260</v>
      </c>
      <c r="G74" s="27" t="s">
        <v>261</v>
      </c>
      <c r="H74" s="27" t="s">
        <v>261</v>
      </c>
      <c r="I74" s="24" t="s">
        <v>127</v>
      </c>
      <c r="J74" s="24" t="s">
        <v>262</v>
      </c>
    </row>
    <row r="75" customFormat="false" ht="16.5" hidden="false" customHeight="true" outlineLevel="0" collapsed="false">
      <c r="A75" s="24" t="s">
        <v>5</v>
      </c>
      <c r="B75" s="25" t="s">
        <v>41</v>
      </c>
      <c r="C75" s="26" t="n">
        <v>15</v>
      </c>
      <c r="D75" s="24" t="s">
        <v>59</v>
      </c>
      <c r="E75" s="25" t="s">
        <v>259</v>
      </c>
      <c r="F75" s="24" t="s">
        <v>263</v>
      </c>
      <c r="G75" s="27" t="s">
        <v>264</v>
      </c>
      <c r="H75" s="27" t="s">
        <v>264</v>
      </c>
      <c r="I75" s="24" t="s">
        <v>127</v>
      </c>
      <c r="J75" s="24" t="s">
        <v>262</v>
      </c>
    </row>
    <row r="76" customFormat="false" ht="16.5" hidden="false" customHeight="true" outlineLevel="0" collapsed="false">
      <c r="A76" s="24" t="s">
        <v>5</v>
      </c>
      <c r="B76" s="25" t="s">
        <v>41</v>
      </c>
      <c r="C76" s="26" t="n">
        <v>15</v>
      </c>
      <c r="D76" s="24" t="s">
        <v>59</v>
      </c>
      <c r="E76" s="25" t="s">
        <v>259</v>
      </c>
      <c r="F76" s="24" t="s">
        <v>265</v>
      </c>
      <c r="G76" s="27" t="s">
        <v>266</v>
      </c>
      <c r="H76" s="27" t="s">
        <v>266</v>
      </c>
      <c r="I76" s="24" t="s">
        <v>127</v>
      </c>
      <c r="J76" s="24" t="s">
        <v>262</v>
      </c>
    </row>
    <row r="77" customFormat="false" ht="16.5" hidden="false" customHeight="true" outlineLevel="0" collapsed="false">
      <c r="A77" s="24" t="s">
        <v>5</v>
      </c>
      <c r="B77" s="25" t="s">
        <v>41</v>
      </c>
      <c r="C77" s="26" t="n">
        <v>15</v>
      </c>
      <c r="D77" s="24" t="s">
        <v>59</v>
      </c>
      <c r="E77" s="25" t="s">
        <v>259</v>
      </c>
      <c r="F77" s="24" t="s">
        <v>267</v>
      </c>
      <c r="G77" s="27" t="s">
        <v>268</v>
      </c>
      <c r="H77" s="27" t="s">
        <v>268</v>
      </c>
      <c r="I77" s="24" t="s">
        <v>127</v>
      </c>
      <c r="J77" s="24" t="s">
        <v>262</v>
      </c>
    </row>
    <row r="78" customFormat="false" ht="16.5" hidden="false" customHeight="true" outlineLevel="0" collapsed="false">
      <c r="A78" s="24" t="s">
        <v>5</v>
      </c>
      <c r="B78" s="25" t="s">
        <v>41</v>
      </c>
      <c r="C78" s="26" t="n">
        <v>15</v>
      </c>
      <c r="D78" s="24" t="s">
        <v>59</v>
      </c>
      <c r="E78" s="25" t="s">
        <v>259</v>
      </c>
      <c r="F78" s="24" t="s">
        <v>269</v>
      </c>
      <c r="G78" s="27" t="s">
        <v>270</v>
      </c>
      <c r="H78" s="27" t="s">
        <v>270</v>
      </c>
      <c r="I78" s="24" t="s">
        <v>127</v>
      </c>
      <c r="J78" s="24" t="s">
        <v>262</v>
      </c>
    </row>
    <row r="79" customFormat="false" ht="16.5" hidden="false" customHeight="true" outlineLevel="0" collapsed="false">
      <c r="A79" s="24" t="s">
        <v>5</v>
      </c>
      <c r="B79" s="25" t="s">
        <v>41</v>
      </c>
      <c r="C79" s="26" t="n">
        <v>15</v>
      </c>
      <c r="D79" s="24" t="s">
        <v>59</v>
      </c>
      <c r="E79" s="25" t="s">
        <v>259</v>
      </c>
      <c r="F79" s="24" t="s">
        <v>271</v>
      </c>
      <c r="G79" s="27" t="s">
        <v>272</v>
      </c>
      <c r="H79" s="27" t="s">
        <v>272</v>
      </c>
      <c r="I79" s="24" t="s">
        <v>127</v>
      </c>
      <c r="J79" s="24" t="s">
        <v>262</v>
      </c>
    </row>
    <row r="80" customFormat="false" ht="16.5" hidden="false" customHeight="true" outlineLevel="0" collapsed="false">
      <c r="A80" s="24" t="s">
        <v>5</v>
      </c>
      <c r="B80" s="25" t="s">
        <v>41</v>
      </c>
      <c r="C80" s="26" t="n">
        <v>16</v>
      </c>
      <c r="D80" s="24" t="s">
        <v>62</v>
      </c>
      <c r="E80" s="24" t="s">
        <v>162</v>
      </c>
      <c r="F80" s="25" t="s">
        <v>63</v>
      </c>
      <c r="G80" s="27" t="s">
        <v>273</v>
      </c>
      <c r="H80" s="27" t="s">
        <v>273</v>
      </c>
      <c r="I80" s="24" t="s">
        <v>102</v>
      </c>
      <c r="J80" s="25"/>
    </row>
    <row r="81" customFormat="false" ht="16.5" hidden="false" customHeight="true" outlineLevel="0" collapsed="false">
      <c r="A81" s="24" t="s">
        <v>5</v>
      </c>
      <c r="B81" s="25" t="s">
        <v>41</v>
      </c>
      <c r="C81" s="26" t="n">
        <v>17</v>
      </c>
      <c r="D81" s="25" t="s">
        <v>66</v>
      </c>
      <c r="E81" s="25" t="s">
        <v>66</v>
      </c>
      <c r="F81" s="24" t="s">
        <v>274</v>
      </c>
      <c r="G81" s="27" t="s">
        <v>275</v>
      </c>
      <c r="H81" s="27" t="s">
        <v>275</v>
      </c>
      <c r="I81" s="24" t="s">
        <v>102</v>
      </c>
      <c r="J81" s="24" t="s">
        <v>155</v>
      </c>
    </row>
    <row r="82" customFormat="false" ht="16.5" hidden="false" customHeight="true" outlineLevel="0" collapsed="false">
      <c r="A82" s="24" t="s">
        <v>5</v>
      </c>
      <c r="B82" s="25" t="s">
        <v>41</v>
      </c>
      <c r="C82" s="26" t="n">
        <v>17</v>
      </c>
      <c r="D82" s="25" t="s">
        <v>66</v>
      </c>
      <c r="E82" s="25" t="s">
        <v>66</v>
      </c>
      <c r="F82" s="24" t="s">
        <v>276</v>
      </c>
      <c r="G82" s="27" t="s">
        <v>277</v>
      </c>
      <c r="H82" s="27" t="s">
        <v>277</v>
      </c>
      <c r="I82" s="24" t="s">
        <v>102</v>
      </c>
      <c r="J82" s="25"/>
    </row>
    <row r="83" customFormat="false" ht="16.5" hidden="false" customHeight="true" outlineLevel="0" collapsed="false">
      <c r="A83" s="24" t="s">
        <v>5</v>
      </c>
      <c r="B83" s="25" t="s">
        <v>41</v>
      </c>
      <c r="C83" s="26" t="n">
        <v>17</v>
      </c>
      <c r="D83" s="25" t="s">
        <v>66</v>
      </c>
      <c r="E83" s="25" t="s">
        <v>66</v>
      </c>
      <c r="F83" s="24" t="s">
        <v>278</v>
      </c>
      <c r="G83" s="27" t="s">
        <v>279</v>
      </c>
      <c r="H83" s="27" t="s">
        <v>279</v>
      </c>
      <c r="I83" s="24" t="s">
        <v>102</v>
      </c>
      <c r="J83" s="25"/>
    </row>
    <row r="84" customFormat="false" ht="16.5" hidden="false" customHeight="true" outlineLevel="0" collapsed="false">
      <c r="A84" s="24" t="s">
        <v>5</v>
      </c>
      <c r="B84" s="25" t="s">
        <v>41</v>
      </c>
      <c r="C84" s="26" t="n">
        <v>17</v>
      </c>
      <c r="D84" s="25" t="s">
        <v>66</v>
      </c>
      <c r="E84" s="25" t="s">
        <v>66</v>
      </c>
      <c r="F84" s="24" t="s">
        <v>280</v>
      </c>
      <c r="G84" s="27" t="s">
        <v>281</v>
      </c>
      <c r="H84" s="27" t="s">
        <v>281</v>
      </c>
      <c r="I84" s="24" t="s">
        <v>102</v>
      </c>
      <c r="J84" s="25"/>
    </row>
    <row r="85" customFormat="false" ht="16.5" hidden="false" customHeight="true" outlineLevel="0" collapsed="false">
      <c r="A85" s="24" t="s">
        <v>5</v>
      </c>
      <c r="B85" s="25" t="s">
        <v>41</v>
      </c>
      <c r="C85" s="26" t="n">
        <v>17</v>
      </c>
      <c r="D85" s="25" t="s">
        <v>66</v>
      </c>
      <c r="E85" s="25" t="s">
        <v>66</v>
      </c>
      <c r="F85" s="24" t="s">
        <v>282</v>
      </c>
      <c r="G85" s="27" t="s">
        <v>283</v>
      </c>
      <c r="H85" s="27" t="s">
        <v>283</v>
      </c>
      <c r="I85" s="24" t="s">
        <v>102</v>
      </c>
      <c r="J85" s="25"/>
    </row>
    <row r="86" customFormat="false" ht="16.5" hidden="false" customHeight="true" outlineLevel="0" collapsed="false">
      <c r="A86" s="24" t="s">
        <v>6</v>
      </c>
      <c r="B86" s="25" t="s">
        <v>12</v>
      </c>
      <c r="C86" s="26" t="n">
        <v>1</v>
      </c>
      <c r="D86" s="24" t="s">
        <v>11</v>
      </c>
      <c r="E86" s="24" t="s">
        <v>284</v>
      </c>
      <c r="F86" s="24" t="s">
        <v>285</v>
      </c>
      <c r="G86" s="27" t="s">
        <v>286</v>
      </c>
      <c r="H86" s="27" t="s">
        <v>287</v>
      </c>
      <c r="I86" s="24" t="s">
        <v>102</v>
      </c>
      <c r="J86" s="25"/>
    </row>
    <row r="87" customFormat="false" ht="16.5" hidden="false" customHeight="true" outlineLevel="0" collapsed="false">
      <c r="A87" s="24" t="s">
        <v>6</v>
      </c>
      <c r="B87" s="25" t="s">
        <v>12</v>
      </c>
      <c r="C87" s="26" t="n">
        <v>1</v>
      </c>
      <c r="D87" s="24" t="s">
        <v>11</v>
      </c>
      <c r="E87" s="24" t="s">
        <v>284</v>
      </c>
      <c r="F87" s="25" t="s">
        <v>288</v>
      </c>
      <c r="G87" s="27" t="s">
        <v>288</v>
      </c>
      <c r="H87" s="27" t="s">
        <v>289</v>
      </c>
      <c r="I87" s="24" t="s">
        <v>102</v>
      </c>
      <c r="J87" s="25"/>
    </row>
    <row r="88" customFormat="false" ht="16.5" hidden="false" customHeight="true" outlineLevel="0" collapsed="false">
      <c r="A88" s="24" t="s">
        <v>6</v>
      </c>
      <c r="B88" s="25" t="s">
        <v>12</v>
      </c>
      <c r="C88" s="26" t="n">
        <v>1</v>
      </c>
      <c r="D88" s="24" t="s">
        <v>11</v>
      </c>
      <c r="E88" s="24" t="s">
        <v>284</v>
      </c>
      <c r="F88" s="24" t="s">
        <v>290</v>
      </c>
      <c r="G88" s="27" t="s">
        <v>291</v>
      </c>
      <c r="H88" s="27" t="s">
        <v>292</v>
      </c>
      <c r="I88" s="24" t="s">
        <v>102</v>
      </c>
      <c r="J88" s="25"/>
    </row>
    <row r="89" customFormat="false" ht="16.5" hidden="false" customHeight="true" outlineLevel="0" collapsed="false">
      <c r="A89" s="24" t="s">
        <v>6</v>
      </c>
      <c r="B89" s="25" t="s">
        <v>12</v>
      </c>
      <c r="C89" s="26" t="n">
        <v>1</v>
      </c>
      <c r="D89" s="24" t="s">
        <v>11</v>
      </c>
      <c r="E89" s="24" t="s">
        <v>284</v>
      </c>
      <c r="F89" s="24" t="s">
        <v>293</v>
      </c>
      <c r="G89" s="27" t="s">
        <v>294</v>
      </c>
      <c r="H89" s="27" t="s">
        <v>295</v>
      </c>
      <c r="I89" s="24" t="s">
        <v>102</v>
      </c>
      <c r="J89" s="25"/>
    </row>
    <row r="90" customFormat="false" ht="16.5" hidden="false" customHeight="true" outlineLevel="0" collapsed="false">
      <c r="A90" s="24" t="s">
        <v>6</v>
      </c>
      <c r="B90" s="25" t="s">
        <v>12</v>
      </c>
      <c r="C90" s="26" t="n">
        <v>1</v>
      </c>
      <c r="D90" s="24" t="s">
        <v>11</v>
      </c>
      <c r="E90" s="24" t="s">
        <v>284</v>
      </c>
      <c r="F90" s="24" t="s">
        <v>296</v>
      </c>
      <c r="G90" s="27" t="s">
        <v>297</v>
      </c>
      <c r="H90" s="27" t="s">
        <v>298</v>
      </c>
      <c r="I90" s="24" t="s">
        <v>102</v>
      </c>
      <c r="J90" s="25"/>
    </row>
    <row r="91" customFormat="false" ht="16.5" hidden="false" customHeight="true" outlineLevel="0" collapsed="false">
      <c r="A91" s="24" t="s">
        <v>6</v>
      </c>
      <c r="B91" s="25" t="s">
        <v>12</v>
      </c>
      <c r="C91" s="26" t="n">
        <v>1</v>
      </c>
      <c r="D91" s="24" t="s">
        <v>11</v>
      </c>
      <c r="E91" s="24" t="s">
        <v>284</v>
      </c>
      <c r="F91" s="24" t="s">
        <v>299</v>
      </c>
      <c r="G91" s="27" t="s">
        <v>300</v>
      </c>
      <c r="H91" s="27" t="s">
        <v>301</v>
      </c>
      <c r="I91" s="24" t="s">
        <v>102</v>
      </c>
      <c r="J91" s="25"/>
    </row>
    <row r="92" customFormat="false" ht="16.5" hidden="false" customHeight="true" outlineLevel="0" collapsed="false">
      <c r="A92" s="24" t="s">
        <v>6</v>
      </c>
      <c r="B92" s="25" t="s">
        <v>12</v>
      </c>
      <c r="C92" s="26" t="n">
        <v>1</v>
      </c>
      <c r="D92" s="24" t="s">
        <v>11</v>
      </c>
      <c r="E92" s="24" t="s">
        <v>284</v>
      </c>
      <c r="F92" s="24" t="s">
        <v>302</v>
      </c>
      <c r="G92" s="27" t="s">
        <v>303</v>
      </c>
      <c r="H92" s="27" t="s">
        <v>304</v>
      </c>
      <c r="I92" s="24" t="s">
        <v>102</v>
      </c>
      <c r="J92" s="25"/>
    </row>
    <row r="93" customFormat="false" ht="16.5" hidden="false" customHeight="true" outlineLevel="0" collapsed="false">
      <c r="A93" s="24" t="s">
        <v>6</v>
      </c>
      <c r="B93" s="25" t="s">
        <v>12</v>
      </c>
      <c r="C93" s="26" t="n">
        <v>1</v>
      </c>
      <c r="D93" s="24" t="s">
        <v>11</v>
      </c>
      <c r="E93" s="25" t="s">
        <v>305</v>
      </c>
      <c r="F93" s="24" t="s">
        <v>306</v>
      </c>
      <c r="G93" s="27" t="s">
        <v>307</v>
      </c>
      <c r="H93" s="27" t="s">
        <v>308</v>
      </c>
      <c r="I93" s="24" t="s">
        <v>120</v>
      </c>
      <c r="J93" s="24" t="s">
        <v>309</v>
      </c>
    </row>
    <row r="94" customFormat="false" ht="16.5" hidden="false" customHeight="true" outlineLevel="0" collapsed="false">
      <c r="A94" s="24" t="s">
        <v>6</v>
      </c>
      <c r="B94" s="25" t="s">
        <v>12</v>
      </c>
      <c r="C94" s="26" t="n">
        <v>2</v>
      </c>
      <c r="D94" s="25" t="s">
        <v>16</v>
      </c>
      <c r="E94" s="25" t="s">
        <v>305</v>
      </c>
      <c r="F94" s="24" t="s">
        <v>310</v>
      </c>
      <c r="G94" s="27" t="s">
        <v>311</v>
      </c>
      <c r="H94" s="27" t="s">
        <v>312</v>
      </c>
      <c r="I94" s="24" t="s">
        <v>102</v>
      </c>
      <c r="J94" s="24" t="s">
        <v>313</v>
      </c>
    </row>
    <row r="95" customFormat="false" ht="16.5" hidden="false" customHeight="true" outlineLevel="0" collapsed="false">
      <c r="A95" s="24" t="s">
        <v>6</v>
      </c>
      <c r="B95" s="25" t="s">
        <v>12</v>
      </c>
      <c r="C95" s="26" t="n">
        <v>2</v>
      </c>
      <c r="D95" s="25" t="s">
        <v>16</v>
      </c>
      <c r="E95" s="25" t="s">
        <v>305</v>
      </c>
      <c r="F95" s="24" t="s">
        <v>314</v>
      </c>
      <c r="G95" s="27" t="s">
        <v>315</v>
      </c>
      <c r="H95" s="27" t="s">
        <v>316</v>
      </c>
      <c r="I95" s="24" t="s">
        <v>102</v>
      </c>
      <c r="J95" s="24" t="s">
        <v>313</v>
      </c>
    </row>
    <row r="96" customFormat="false" ht="16.5" hidden="false" customHeight="true" outlineLevel="0" collapsed="false">
      <c r="A96" s="24" t="s">
        <v>6</v>
      </c>
      <c r="B96" s="25" t="s">
        <v>12</v>
      </c>
      <c r="C96" s="26" t="n">
        <v>3</v>
      </c>
      <c r="D96" s="24" t="s">
        <v>20</v>
      </c>
      <c r="E96" s="24" t="s">
        <v>20</v>
      </c>
      <c r="F96" s="24" t="s">
        <v>317</v>
      </c>
      <c r="G96" s="27" t="s">
        <v>318</v>
      </c>
      <c r="H96" s="27" t="s">
        <v>319</v>
      </c>
      <c r="I96" s="24" t="s">
        <v>102</v>
      </c>
      <c r="J96" s="25"/>
    </row>
    <row r="97" customFormat="false" ht="16.5" hidden="false" customHeight="true" outlineLevel="0" collapsed="false">
      <c r="A97" s="24" t="s">
        <v>6</v>
      </c>
      <c r="B97" s="25" t="s">
        <v>12</v>
      </c>
      <c r="C97" s="26" t="n">
        <v>3</v>
      </c>
      <c r="D97" s="24" t="s">
        <v>20</v>
      </c>
      <c r="E97" s="24" t="s">
        <v>20</v>
      </c>
      <c r="F97" s="24" t="s">
        <v>320</v>
      </c>
      <c r="G97" s="27" t="s">
        <v>321</v>
      </c>
      <c r="H97" s="27" t="s">
        <v>322</v>
      </c>
      <c r="I97" s="24" t="s">
        <v>102</v>
      </c>
      <c r="J97" s="25"/>
    </row>
    <row r="98" customFormat="false" ht="16.5" hidden="false" customHeight="true" outlineLevel="0" collapsed="false">
      <c r="A98" s="24" t="s">
        <v>6</v>
      </c>
      <c r="B98" s="25" t="s">
        <v>12</v>
      </c>
      <c r="C98" s="26" t="n">
        <v>3</v>
      </c>
      <c r="D98" s="24" t="s">
        <v>20</v>
      </c>
      <c r="E98" s="24" t="s">
        <v>20</v>
      </c>
      <c r="F98" s="24" t="s">
        <v>323</v>
      </c>
      <c r="G98" s="27" t="s">
        <v>324</v>
      </c>
      <c r="H98" s="27" t="s">
        <v>325</v>
      </c>
      <c r="I98" s="24" t="s">
        <v>102</v>
      </c>
      <c r="J98" s="25"/>
    </row>
    <row r="99" customFormat="false" ht="16.5" hidden="false" customHeight="true" outlineLevel="0" collapsed="false">
      <c r="A99" s="24" t="s">
        <v>6</v>
      </c>
      <c r="B99" s="25" t="s">
        <v>12</v>
      </c>
      <c r="C99" s="26" t="n">
        <v>5</v>
      </c>
      <c r="D99" s="24" t="s">
        <v>26</v>
      </c>
      <c r="E99" s="24" t="s">
        <v>26</v>
      </c>
      <c r="F99" s="25" t="s">
        <v>326</v>
      </c>
      <c r="G99" s="27" t="s">
        <v>327</v>
      </c>
      <c r="H99" s="27" t="s">
        <v>328</v>
      </c>
      <c r="I99" s="24" t="s">
        <v>102</v>
      </c>
      <c r="J99" s="25"/>
    </row>
    <row r="100" customFormat="false" ht="16.5" hidden="false" customHeight="true" outlineLevel="0" collapsed="false">
      <c r="A100" s="24" t="s">
        <v>6</v>
      </c>
      <c r="B100" s="25" t="s">
        <v>12</v>
      </c>
      <c r="C100" s="26" t="n">
        <v>5</v>
      </c>
      <c r="D100" s="24" t="s">
        <v>26</v>
      </c>
      <c r="E100" s="24" t="s">
        <v>26</v>
      </c>
      <c r="F100" s="24" t="s">
        <v>329</v>
      </c>
      <c r="G100" s="27" t="s">
        <v>330</v>
      </c>
      <c r="H100" s="27" t="s">
        <v>331</v>
      </c>
      <c r="I100" s="24" t="s">
        <v>102</v>
      </c>
      <c r="J100" s="25"/>
    </row>
    <row r="101" customFormat="false" ht="16.5" hidden="false" customHeight="true" outlineLevel="0" collapsed="false">
      <c r="A101" s="24" t="s">
        <v>6</v>
      </c>
      <c r="B101" s="25" t="s">
        <v>12</v>
      </c>
      <c r="C101" s="26" t="n">
        <v>5</v>
      </c>
      <c r="D101" s="24" t="s">
        <v>26</v>
      </c>
      <c r="E101" s="24" t="s">
        <v>26</v>
      </c>
      <c r="F101" s="24" t="s">
        <v>332</v>
      </c>
      <c r="G101" s="27" t="s">
        <v>333</v>
      </c>
      <c r="H101" s="27" t="s">
        <v>334</v>
      </c>
      <c r="I101" s="24" t="s">
        <v>102</v>
      </c>
      <c r="J101" s="25"/>
    </row>
    <row r="102" customFormat="false" ht="16.5" hidden="false" customHeight="true" outlineLevel="0" collapsed="false">
      <c r="A102" s="24" t="s">
        <v>6</v>
      </c>
      <c r="B102" s="25" t="s">
        <v>12</v>
      </c>
      <c r="C102" s="26" t="n">
        <v>5</v>
      </c>
      <c r="D102" s="24" t="s">
        <v>26</v>
      </c>
      <c r="E102" s="24" t="s">
        <v>26</v>
      </c>
      <c r="F102" s="24" t="s">
        <v>335</v>
      </c>
      <c r="G102" s="27" t="s">
        <v>336</v>
      </c>
      <c r="H102" s="27" t="s">
        <v>337</v>
      </c>
      <c r="I102" s="24" t="s">
        <v>102</v>
      </c>
      <c r="J102" s="25"/>
    </row>
    <row r="103" customFormat="false" ht="16.5" hidden="false" customHeight="true" outlineLevel="0" collapsed="false">
      <c r="A103" s="24" t="s">
        <v>6</v>
      </c>
      <c r="B103" s="25" t="s">
        <v>12</v>
      </c>
      <c r="C103" s="26" t="n">
        <v>6</v>
      </c>
      <c r="D103" s="24" t="s">
        <v>29</v>
      </c>
      <c r="E103" s="24" t="s">
        <v>29</v>
      </c>
      <c r="F103" s="25" t="s">
        <v>338</v>
      </c>
      <c r="G103" s="27" t="s">
        <v>339</v>
      </c>
      <c r="H103" s="27" t="s">
        <v>340</v>
      </c>
      <c r="I103" s="24" t="s">
        <v>102</v>
      </c>
      <c r="J103" s="25"/>
    </row>
    <row r="104" customFormat="false" ht="16.5" hidden="false" customHeight="true" outlineLevel="0" collapsed="false">
      <c r="A104" s="24" t="s">
        <v>6</v>
      </c>
      <c r="B104" s="25" t="s">
        <v>12</v>
      </c>
      <c r="C104" s="26" t="n">
        <v>6</v>
      </c>
      <c r="D104" s="24" t="s">
        <v>29</v>
      </c>
      <c r="E104" s="24" t="s">
        <v>29</v>
      </c>
      <c r="F104" s="24" t="s">
        <v>341</v>
      </c>
      <c r="G104" s="27" t="s">
        <v>342</v>
      </c>
      <c r="H104" s="27" t="s">
        <v>343</v>
      </c>
      <c r="I104" s="24" t="s">
        <v>102</v>
      </c>
      <c r="J104" s="25"/>
    </row>
    <row r="105" customFormat="false" ht="16.5" hidden="false" customHeight="true" outlineLevel="0" collapsed="false">
      <c r="A105" s="24" t="s">
        <v>6</v>
      </c>
      <c r="B105" s="25" t="s">
        <v>12</v>
      </c>
      <c r="C105" s="26" t="n">
        <v>6</v>
      </c>
      <c r="D105" s="24" t="s">
        <v>29</v>
      </c>
      <c r="E105" s="24" t="s">
        <v>29</v>
      </c>
      <c r="F105" s="24" t="s">
        <v>344</v>
      </c>
      <c r="G105" s="27" t="s">
        <v>345</v>
      </c>
      <c r="H105" s="27" t="s">
        <v>346</v>
      </c>
      <c r="I105" s="24" t="s">
        <v>102</v>
      </c>
      <c r="J105" s="25"/>
    </row>
    <row r="106" customFormat="false" ht="16.5" hidden="false" customHeight="true" outlineLevel="0" collapsed="false">
      <c r="A106" s="24" t="s">
        <v>6</v>
      </c>
      <c r="B106" s="25" t="s">
        <v>12</v>
      </c>
      <c r="C106" s="26" t="n">
        <v>6</v>
      </c>
      <c r="D106" s="24" t="s">
        <v>29</v>
      </c>
      <c r="E106" s="24" t="s">
        <v>29</v>
      </c>
      <c r="F106" s="24" t="s">
        <v>347</v>
      </c>
      <c r="G106" s="27" t="s">
        <v>348</v>
      </c>
      <c r="H106" s="27" t="s">
        <v>349</v>
      </c>
      <c r="I106" s="24" t="s">
        <v>102</v>
      </c>
      <c r="J106" s="25"/>
    </row>
    <row r="107" customFormat="false" ht="16.5" hidden="false" customHeight="true" outlineLevel="0" collapsed="false">
      <c r="A107" s="24" t="s">
        <v>6</v>
      </c>
      <c r="B107" s="25" t="s">
        <v>12</v>
      </c>
      <c r="C107" s="26" t="n">
        <v>7</v>
      </c>
      <c r="D107" s="24" t="s">
        <v>33</v>
      </c>
      <c r="E107" s="24" t="s">
        <v>33</v>
      </c>
      <c r="F107" s="24" t="s">
        <v>350</v>
      </c>
      <c r="G107" s="27" t="s">
        <v>351</v>
      </c>
      <c r="H107" s="27" t="s">
        <v>352</v>
      </c>
      <c r="I107" s="24" t="s">
        <v>102</v>
      </c>
      <c r="J107" s="25"/>
    </row>
    <row r="108" customFormat="false" ht="16.5" hidden="false" customHeight="true" outlineLevel="0" collapsed="false">
      <c r="A108" s="24" t="s">
        <v>6</v>
      </c>
      <c r="B108" s="25" t="s">
        <v>12</v>
      </c>
      <c r="C108" s="26" t="n">
        <v>7</v>
      </c>
      <c r="D108" s="24" t="s">
        <v>33</v>
      </c>
      <c r="E108" s="24" t="s">
        <v>33</v>
      </c>
      <c r="F108" s="24" t="s">
        <v>353</v>
      </c>
      <c r="G108" s="27" t="s">
        <v>354</v>
      </c>
      <c r="H108" s="27" t="s">
        <v>355</v>
      </c>
      <c r="I108" s="24" t="s">
        <v>102</v>
      </c>
      <c r="J108" s="25"/>
    </row>
    <row r="109" customFormat="false" ht="16.5" hidden="false" customHeight="true" outlineLevel="0" collapsed="false">
      <c r="A109" s="24" t="s">
        <v>6</v>
      </c>
      <c r="B109" s="25" t="s">
        <v>12</v>
      </c>
      <c r="C109" s="26" t="n">
        <v>7</v>
      </c>
      <c r="D109" s="24" t="s">
        <v>33</v>
      </c>
      <c r="E109" s="24" t="s">
        <v>33</v>
      </c>
      <c r="F109" s="24" t="s">
        <v>356</v>
      </c>
      <c r="G109" s="27" t="s">
        <v>357</v>
      </c>
      <c r="H109" s="27" t="s">
        <v>358</v>
      </c>
      <c r="I109" s="24" t="s">
        <v>102</v>
      </c>
      <c r="J109" s="25"/>
    </row>
    <row r="110" customFormat="false" ht="16.5" hidden="false" customHeight="true" outlineLevel="0" collapsed="false">
      <c r="A110" s="24" t="s">
        <v>6</v>
      </c>
      <c r="B110" s="25" t="s">
        <v>12</v>
      </c>
      <c r="C110" s="26" t="n">
        <v>8</v>
      </c>
      <c r="D110" s="25" t="s">
        <v>37</v>
      </c>
      <c r="E110" s="25" t="s">
        <v>37</v>
      </c>
      <c r="F110" s="25" t="s">
        <v>359</v>
      </c>
      <c r="G110" s="27" t="s">
        <v>360</v>
      </c>
      <c r="H110" s="27" t="s">
        <v>361</v>
      </c>
      <c r="I110" s="24" t="s">
        <v>102</v>
      </c>
      <c r="J110" s="25"/>
    </row>
    <row r="111" customFormat="false" ht="16.5" hidden="false" customHeight="true" outlineLevel="0" collapsed="false">
      <c r="A111" s="24" t="s">
        <v>6</v>
      </c>
      <c r="B111" s="25" t="s">
        <v>12</v>
      </c>
      <c r="C111" s="26" t="n">
        <v>8</v>
      </c>
      <c r="D111" s="25" t="s">
        <v>37</v>
      </c>
      <c r="E111" s="25" t="s">
        <v>37</v>
      </c>
      <c r="F111" s="24" t="s">
        <v>362</v>
      </c>
      <c r="G111" s="27" t="s">
        <v>363</v>
      </c>
      <c r="H111" s="27" t="s">
        <v>364</v>
      </c>
      <c r="I111" s="24" t="s">
        <v>102</v>
      </c>
      <c r="J111" s="25"/>
    </row>
    <row r="112" customFormat="false" ht="16.5" hidden="false" customHeight="true" outlineLevel="0" collapsed="false">
      <c r="A112" s="24" t="s">
        <v>6</v>
      </c>
      <c r="B112" s="25" t="s">
        <v>12</v>
      </c>
      <c r="C112" s="26" t="n">
        <v>9</v>
      </c>
      <c r="D112" s="24" t="s">
        <v>40</v>
      </c>
      <c r="E112" s="24" t="s">
        <v>40</v>
      </c>
      <c r="F112" s="24" t="s">
        <v>365</v>
      </c>
      <c r="G112" s="27" t="s">
        <v>366</v>
      </c>
      <c r="H112" s="27" t="s">
        <v>367</v>
      </c>
      <c r="I112" s="24" t="s">
        <v>102</v>
      </c>
      <c r="J112" s="25"/>
    </row>
    <row r="113" customFormat="false" ht="16.5" hidden="false" customHeight="true" outlineLevel="0" collapsed="false">
      <c r="A113" s="24" t="s">
        <v>6</v>
      </c>
      <c r="B113" s="25" t="s">
        <v>12</v>
      </c>
      <c r="C113" s="26" t="n">
        <v>9</v>
      </c>
      <c r="D113" s="24" t="s">
        <v>40</v>
      </c>
      <c r="E113" s="24" t="s">
        <v>40</v>
      </c>
      <c r="F113" s="24" t="s">
        <v>368</v>
      </c>
      <c r="G113" s="27" t="s">
        <v>369</v>
      </c>
      <c r="H113" s="27" t="s">
        <v>370</v>
      </c>
      <c r="I113" s="24" t="s">
        <v>102</v>
      </c>
      <c r="J113" s="25"/>
    </row>
    <row r="114" customFormat="false" ht="16.5" hidden="false" customHeight="true" outlineLevel="0" collapsed="false">
      <c r="A114" s="24" t="s">
        <v>6</v>
      </c>
      <c r="B114" s="25" t="s">
        <v>12</v>
      </c>
      <c r="C114" s="26" t="n">
        <v>14</v>
      </c>
      <c r="D114" s="25" t="s">
        <v>55</v>
      </c>
      <c r="E114" s="25" t="s">
        <v>371</v>
      </c>
      <c r="F114" s="24" t="s">
        <v>372</v>
      </c>
      <c r="G114" s="27" t="s">
        <v>373</v>
      </c>
      <c r="H114" s="27" t="s">
        <v>374</v>
      </c>
      <c r="I114" s="24" t="s">
        <v>375</v>
      </c>
      <c r="J114" s="24" t="s">
        <v>376</v>
      </c>
    </row>
    <row r="115" customFormat="false" ht="16.5" hidden="false" customHeight="true" outlineLevel="0" collapsed="false">
      <c r="A115" s="24" t="s">
        <v>6</v>
      </c>
      <c r="B115" s="25" t="s">
        <v>12</v>
      </c>
      <c r="C115" s="26" t="n">
        <v>14</v>
      </c>
      <c r="D115" s="25" t="s">
        <v>55</v>
      </c>
      <c r="E115" s="25" t="s">
        <v>124</v>
      </c>
      <c r="F115" s="25" t="s">
        <v>57</v>
      </c>
      <c r="G115" s="27" t="s">
        <v>377</v>
      </c>
      <c r="H115" s="27" t="s">
        <v>378</v>
      </c>
      <c r="I115" s="24" t="s">
        <v>127</v>
      </c>
      <c r="J115" s="24" t="s">
        <v>379</v>
      </c>
    </row>
    <row r="116" customFormat="false" ht="16.5" hidden="false" customHeight="true" outlineLevel="0" collapsed="false">
      <c r="A116" s="24" t="s">
        <v>6</v>
      </c>
      <c r="B116" s="25" t="s">
        <v>12</v>
      </c>
      <c r="C116" s="26" t="n">
        <v>16</v>
      </c>
      <c r="D116" s="24" t="s">
        <v>62</v>
      </c>
      <c r="E116" s="24" t="s">
        <v>62</v>
      </c>
      <c r="F116" s="24" t="s">
        <v>380</v>
      </c>
      <c r="G116" s="27" t="s">
        <v>381</v>
      </c>
      <c r="H116" s="27" t="s">
        <v>382</v>
      </c>
      <c r="I116" s="24" t="s">
        <v>102</v>
      </c>
      <c r="J116" s="25"/>
    </row>
    <row r="117" customFormat="false" ht="16.5" hidden="false" customHeight="true" outlineLevel="0" collapsed="false">
      <c r="A117" s="24" t="s">
        <v>6</v>
      </c>
      <c r="B117" s="25" t="s">
        <v>12</v>
      </c>
      <c r="C117" s="26" t="n">
        <v>16</v>
      </c>
      <c r="D117" s="24" t="s">
        <v>62</v>
      </c>
      <c r="E117" s="24" t="s">
        <v>62</v>
      </c>
      <c r="F117" s="24" t="s">
        <v>383</v>
      </c>
      <c r="G117" s="27" t="s">
        <v>384</v>
      </c>
      <c r="H117" s="27" t="s">
        <v>385</v>
      </c>
      <c r="I117" s="24" t="s">
        <v>102</v>
      </c>
      <c r="J117" s="25"/>
    </row>
    <row r="118" customFormat="false" ht="16.5" hidden="false" customHeight="true" outlineLevel="0" collapsed="false">
      <c r="A118" s="24" t="s">
        <v>6</v>
      </c>
      <c r="B118" s="25" t="s">
        <v>12</v>
      </c>
      <c r="C118" s="26" t="n">
        <v>16</v>
      </c>
      <c r="D118" s="24" t="s">
        <v>62</v>
      </c>
      <c r="E118" s="24" t="s">
        <v>62</v>
      </c>
      <c r="F118" s="24" t="s">
        <v>386</v>
      </c>
      <c r="G118" s="27" t="s">
        <v>387</v>
      </c>
      <c r="H118" s="27" t="s">
        <v>388</v>
      </c>
      <c r="I118" s="24" t="s">
        <v>102</v>
      </c>
      <c r="J118" s="25"/>
    </row>
    <row r="119" customFormat="false" ht="16.5" hidden="false" customHeight="true" outlineLevel="0" collapsed="false">
      <c r="A119" s="24" t="s">
        <v>6</v>
      </c>
      <c r="B119" s="25" t="s">
        <v>12</v>
      </c>
      <c r="C119" s="26" t="n">
        <v>16</v>
      </c>
      <c r="D119" s="24" t="s">
        <v>62</v>
      </c>
      <c r="E119" s="24" t="s">
        <v>62</v>
      </c>
      <c r="F119" s="24" t="s">
        <v>389</v>
      </c>
      <c r="G119" s="27" t="s">
        <v>390</v>
      </c>
      <c r="H119" s="27" t="s">
        <v>391</v>
      </c>
      <c r="I119" s="24" t="s">
        <v>102</v>
      </c>
      <c r="J119" s="25"/>
    </row>
    <row r="120" customFormat="false" ht="16.5" hidden="false" customHeight="true" outlineLevel="0" collapsed="false">
      <c r="A120" s="24" t="s">
        <v>6</v>
      </c>
      <c r="B120" s="25" t="s">
        <v>12</v>
      </c>
      <c r="C120" s="26" t="n">
        <v>16</v>
      </c>
      <c r="D120" s="24" t="s">
        <v>62</v>
      </c>
      <c r="E120" s="24" t="s">
        <v>62</v>
      </c>
      <c r="F120" s="25" t="s">
        <v>392</v>
      </c>
      <c r="G120" s="27" t="s">
        <v>393</v>
      </c>
      <c r="H120" s="27" t="s">
        <v>394</v>
      </c>
      <c r="I120" s="24" t="s">
        <v>102</v>
      </c>
      <c r="J120" s="25"/>
    </row>
    <row r="121" customFormat="false" ht="16.5" hidden="false" customHeight="true" outlineLevel="0" collapsed="false">
      <c r="A121" s="24" t="s">
        <v>6</v>
      </c>
      <c r="B121" s="25" t="s">
        <v>12</v>
      </c>
      <c r="C121" s="26" t="n">
        <v>16</v>
      </c>
      <c r="D121" s="24" t="s">
        <v>62</v>
      </c>
      <c r="E121" s="24" t="s">
        <v>62</v>
      </c>
      <c r="F121" s="24" t="s">
        <v>395</v>
      </c>
      <c r="G121" s="27" t="s">
        <v>396</v>
      </c>
      <c r="H121" s="27" t="s">
        <v>397</v>
      </c>
      <c r="I121" s="24" t="s">
        <v>102</v>
      </c>
      <c r="J121" s="25"/>
    </row>
    <row r="122" customFormat="false" ht="16.5" hidden="false" customHeight="true" outlineLevel="0" collapsed="false">
      <c r="A122" s="24" t="s">
        <v>6</v>
      </c>
      <c r="B122" s="25" t="s">
        <v>12</v>
      </c>
      <c r="C122" s="26" t="n">
        <v>16</v>
      </c>
      <c r="D122" s="24" t="s">
        <v>62</v>
      </c>
      <c r="E122" s="24" t="s">
        <v>62</v>
      </c>
      <c r="F122" s="24" t="s">
        <v>398</v>
      </c>
      <c r="G122" s="27" t="s">
        <v>399</v>
      </c>
      <c r="H122" s="27" t="s">
        <v>400</v>
      </c>
      <c r="I122" s="24" t="s">
        <v>102</v>
      </c>
      <c r="J122" s="25"/>
    </row>
    <row r="123" customFormat="false" ht="16.5" hidden="false" customHeight="true" outlineLevel="0" collapsed="false">
      <c r="A123" s="24" t="s">
        <v>6</v>
      </c>
      <c r="B123" s="25" t="s">
        <v>12</v>
      </c>
      <c r="C123" s="26" t="n">
        <v>16</v>
      </c>
      <c r="D123" s="24" t="s">
        <v>62</v>
      </c>
      <c r="E123" s="24" t="s">
        <v>62</v>
      </c>
      <c r="F123" s="25" t="s">
        <v>401</v>
      </c>
      <c r="G123" s="27" t="s">
        <v>402</v>
      </c>
      <c r="H123" s="27" t="s">
        <v>403</v>
      </c>
      <c r="I123" s="24" t="s">
        <v>102</v>
      </c>
      <c r="J123" s="25"/>
    </row>
    <row r="124" customFormat="false" ht="16.5" hidden="false" customHeight="true" outlineLevel="0" collapsed="false">
      <c r="A124" s="24" t="s">
        <v>6</v>
      </c>
      <c r="B124" s="25" t="s">
        <v>12</v>
      </c>
      <c r="C124" s="26" t="n">
        <v>16</v>
      </c>
      <c r="D124" s="24" t="s">
        <v>62</v>
      </c>
      <c r="E124" s="24" t="s">
        <v>62</v>
      </c>
      <c r="F124" s="24" t="s">
        <v>404</v>
      </c>
      <c r="G124" s="27" t="s">
        <v>405</v>
      </c>
      <c r="H124" s="27" t="s">
        <v>406</v>
      </c>
      <c r="I124" s="24" t="s">
        <v>102</v>
      </c>
      <c r="J124" s="25"/>
    </row>
    <row r="125" customFormat="false" ht="16.5" hidden="false" customHeight="true" outlineLevel="0" collapsed="false">
      <c r="A125" s="24" t="s">
        <v>6</v>
      </c>
      <c r="B125" s="25" t="s">
        <v>12</v>
      </c>
      <c r="C125" s="26" t="n">
        <v>17</v>
      </c>
      <c r="D125" s="25" t="s">
        <v>66</v>
      </c>
      <c r="E125" s="25" t="s">
        <v>66</v>
      </c>
      <c r="F125" s="24" t="s">
        <v>407</v>
      </c>
      <c r="G125" s="27" t="s">
        <v>408</v>
      </c>
      <c r="H125" s="27" t="s">
        <v>409</v>
      </c>
      <c r="I125" s="24" t="s">
        <v>102</v>
      </c>
      <c r="J125" s="25"/>
    </row>
    <row r="126" customFormat="false" ht="16.5" hidden="false" customHeight="true" outlineLevel="0" collapsed="false">
      <c r="A126" s="24" t="s">
        <v>6</v>
      </c>
      <c r="B126" s="25" t="s">
        <v>12</v>
      </c>
      <c r="C126" s="26" t="n">
        <v>17</v>
      </c>
      <c r="D126" s="25" t="s">
        <v>66</v>
      </c>
      <c r="E126" s="25" t="s">
        <v>66</v>
      </c>
      <c r="F126" s="24" t="s">
        <v>410</v>
      </c>
      <c r="G126" s="27" t="s">
        <v>411</v>
      </c>
      <c r="H126" s="27" t="s">
        <v>412</v>
      </c>
      <c r="I126" s="24" t="s">
        <v>102</v>
      </c>
      <c r="J126" s="25"/>
    </row>
    <row r="127" customFormat="false" ht="16.5" hidden="false" customHeight="true" outlineLevel="0" collapsed="false">
      <c r="A127" s="24" t="s">
        <v>6</v>
      </c>
      <c r="B127" s="25" t="s">
        <v>12</v>
      </c>
      <c r="C127" s="26" t="n">
        <v>17</v>
      </c>
      <c r="D127" s="25" t="s">
        <v>66</v>
      </c>
      <c r="E127" s="25" t="s">
        <v>66</v>
      </c>
      <c r="F127" s="24" t="s">
        <v>413</v>
      </c>
      <c r="G127" s="27" t="s">
        <v>414</v>
      </c>
      <c r="H127" s="27" t="s">
        <v>415</v>
      </c>
      <c r="I127" s="24" t="s">
        <v>102</v>
      </c>
      <c r="J127" s="25"/>
    </row>
    <row r="128" customFormat="false" ht="16.5" hidden="false" customHeight="true" outlineLevel="0" collapsed="false">
      <c r="A128" s="24" t="s">
        <v>7</v>
      </c>
      <c r="B128" s="25" t="s">
        <v>12</v>
      </c>
      <c r="C128" s="26" t="n">
        <v>2</v>
      </c>
      <c r="D128" s="25" t="s">
        <v>16</v>
      </c>
      <c r="E128" s="24" t="s">
        <v>284</v>
      </c>
      <c r="F128" s="24" t="s">
        <v>19</v>
      </c>
      <c r="G128" s="27" t="s">
        <v>416</v>
      </c>
      <c r="H128" s="27" t="s">
        <v>417</v>
      </c>
      <c r="I128" s="24" t="s">
        <v>120</v>
      </c>
      <c r="J128" s="24" t="s">
        <v>418</v>
      </c>
    </row>
    <row r="129" customFormat="false" ht="16.5" hidden="false" customHeight="true" outlineLevel="0" collapsed="false">
      <c r="A129" s="24" t="s">
        <v>7</v>
      </c>
      <c r="B129" s="25" t="s">
        <v>12</v>
      </c>
      <c r="C129" s="26" t="n">
        <v>3</v>
      </c>
      <c r="D129" s="24" t="s">
        <v>20</v>
      </c>
      <c r="E129" s="24" t="s">
        <v>20</v>
      </c>
      <c r="F129" s="24" t="s">
        <v>23</v>
      </c>
      <c r="G129" s="27" t="s">
        <v>419</v>
      </c>
      <c r="H129" s="27" t="s">
        <v>420</v>
      </c>
      <c r="I129" s="24" t="s">
        <v>102</v>
      </c>
      <c r="J129" s="25"/>
    </row>
    <row r="130" customFormat="false" ht="16.5" hidden="false" customHeight="true" outlineLevel="0" collapsed="false">
      <c r="A130" s="24" t="s">
        <v>7</v>
      </c>
      <c r="B130" s="25" t="s">
        <v>12</v>
      </c>
      <c r="C130" s="26" t="n">
        <v>6</v>
      </c>
      <c r="D130" s="24" t="s">
        <v>29</v>
      </c>
      <c r="E130" s="24" t="s">
        <v>29</v>
      </c>
      <c r="F130" s="24" t="s">
        <v>421</v>
      </c>
      <c r="G130" s="27" t="s">
        <v>422</v>
      </c>
      <c r="H130" s="27" t="s">
        <v>423</v>
      </c>
      <c r="I130" s="24" t="s">
        <v>102</v>
      </c>
      <c r="J130" s="25"/>
    </row>
    <row r="131" customFormat="false" ht="16.5" hidden="false" customHeight="true" outlineLevel="0" collapsed="false">
      <c r="A131" s="24" t="s">
        <v>7</v>
      </c>
      <c r="B131" s="25" t="s">
        <v>12</v>
      </c>
      <c r="C131" s="26" t="n">
        <v>6</v>
      </c>
      <c r="D131" s="24" t="s">
        <v>29</v>
      </c>
      <c r="E131" s="25" t="s">
        <v>424</v>
      </c>
      <c r="F131" s="24" t="s">
        <v>425</v>
      </c>
      <c r="G131" s="27" t="s">
        <v>426</v>
      </c>
      <c r="H131" s="27" t="s">
        <v>427</v>
      </c>
      <c r="I131" s="24" t="s">
        <v>127</v>
      </c>
      <c r="J131" s="24" t="s">
        <v>428</v>
      </c>
    </row>
    <row r="132" customFormat="false" ht="16.5" hidden="false" customHeight="true" outlineLevel="0" collapsed="false">
      <c r="A132" s="24" t="s">
        <v>7</v>
      </c>
      <c r="B132" s="25" t="s">
        <v>12</v>
      </c>
      <c r="C132" s="26" t="n">
        <v>7</v>
      </c>
      <c r="D132" s="24" t="s">
        <v>33</v>
      </c>
      <c r="E132" s="24" t="s">
        <v>33</v>
      </c>
      <c r="F132" s="24" t="s">
        <v>429</v>
      </c>
      <c r="G132" s="27" t="s">
        <v>430</v>
      </c>
      <c r="H132" s="27" t="s">
        <v>431</v>
      </c>
      <c r="I132" s="24" t="s">
        <v>102</v>
      </c>
      <c r="J132" s="25"/>
    </row>
    <row r="133" customFormat="false" ht="16.5" hidden="false" customHeight="true" outlineLevel="0" collapsed="false">
      <c r="A133" s="24" t="s">
        <v>7</v>
      </c>
      <c r="B133" s="25" t="s">
        <v>12</v>
      </c>
      <c r="C133" s="26" t="n">
        <v>7</v>
      </c>
      <c r="D133" s="24" t="s">
        <v>33</v>
      </c>
      <c r="E133" s="24" t="s">
        <v>33</v>
      </c>
      <c r="F133" s="24" t="s">
        <v>432</v>
      </c>
      <c r="G133" s="27" t="s">
        <v>433</v>
      </c>
      <c r="H133" s="27" t="s">
        <v>434</v>
      </c>
      <c r="I133" s="24" t="s">
        <v>102</v>
      </c>
      <c r="J133" s="25"/>
    </row>
    <row r="134" customFormat="false" ht="16.5" hidden="false" customHeight="true" outlineLevel="0" collapsed="false">
      <c r="A134" s="24" t="s">
        <v>7</v>
      </c>
      <c r="B134" s="25" t="s">
        <v>12</v>
      </c>
      <c r="C134" s="26" t="n">
        <v>7</v>
      </c>
      <c r="D134" s="24" t="s">
        <v>33</v>
      </c>
      <c r="E134" s="24" t="s">
        <v>33</v>
      </c>
      <c r="F134" s="24" t="s">
        <v>435</v>
      </c>
      <c r="G134" s="27" t="s">
        <v>436</v>
      </c>
      <c r="H134" s="27" t="s">
        <v>437</v>
      </c>
      <c r="I134" s="24" t="s">
        <v>102</v>
      </c>
      <c r="J134" s="25"/>
    </row>
    <row r="135" customFormat="false" ht="16.5" hidden="false" customHeight="true" outlineLevel="0" collapsed="false">
      <c r="A135" s="24" t="s">
        <v>7</v>
      </c>
      <c r="B135" s="25" t="s">
        <v>12</v>
      </c>
      <c r="C135" s="26" t="n">
        <v>9</v>
      </c>
      <c r="D135" s="24" t="s">
        <v>40</v>
      </c>
      <c r="E135" s="24" t="s">
        <v>40</v>
      </c>
      <c r="F135" s="24" t="s">
        <v>44</v>
      </c>
      <c r="G135" s="27" t="s">
        <v>438</v>
      </c>
      <c r="H135" s="27" t="s">
        <v>439</v>
      </c>
      <c r="I135" s="24" t="s">
        <v>102</v>
      </c>
      <c r="J135" s="25"/>
    </row>
    <row r="136" customFormat="false" ht="16.5" hidden="false" customHeight="true" outlineLevel="0" collapsed="false">
      <c r="A136" s="24" t="s">
        <v>7</v>
      </c>
      <c r="B136" s="25" t="s">
        <v>12</v>
      </c>
      <c r="C136" s="26" t="n">
        <v>10</v>
      </c>
      <c r="D136" s="24" t="s">
        <v>45</v>
      </c>
      <c r="E136" s="24" t="s">
        <v>40</v>
      </c>
      <c r="F136" s="24" t="s">
        <v>47</v>
      </c>
      <c r="G136" s="27" t="s">
        <v>440</v>
      </c>
      <c r="H136" s="27" t="s">
        <v>441</v>
      </c>
      <c r="I136" s="24" t="s">
        <v>120</v>
      </c>
      <c r="J136" s="24" t="s">
        <v>442</v>
      </c>
    </row>
    <row r="137" customFormat="false" ht="16.5" hidden="false" customHeight="true" outlineLevel="0" collapsed="false">
      <c r="A137" s="24" t="s">
        <v>7</v>
      </c>
      <c r="B137" s="25" t="s">
        <v>12</v>
      </c>
      <c r="C137" s="26" t="n">
        <v>11</v>
      </c>
      <c r="D137" s="24" t="s">
        <v>48</v>
      </c>
      <c r="E137" s="24" t="s">
        <v>48</v>
      </c>
      <c r="F137" s="24" t="s">
        <v>443</v>
      </c>
      <c r="G137" s="27" t="s">
        <v>444</v>
      </c>
      <c r="H137" s="27" t="s">
        <v>445</v>
      </c>
      <c r="I137" s="24" t="s">
        <v>102</v>
      </c>
      <c r="J137" s="25"/>
    </row>
    <row r="138" customFormat="false" ht="16.5" hidden="false" customHeight="true" outlineLevel="0" collapsed="false">
      <c r="A138" s="24" t="s">
        <v>7</v>
      </c>
      <c r="B138" s="25" t="s">
        <v>12</v>
      </c>
      <c r="C138" s="26" t="n">
        <v>11</v>
      </c>
      <c r="D138" s="24" t="s">
        <v>48</v>
      </c>
      <c r="E138" s="24" t="s">
        <v>48</v>
      </c>
      <c r="F138" s="24" t="s">
        <v>446</v>
      </c>
      <c r="G138" s="27" t="s">
        <v>447</v>
      </c>
      <c r="H138" s="27" t="s">
        <v>448</v>
      </c>
      <c r="I138" s="24" t="s">
        <v>102</v>
      </c>
      <c r="J138" s="25"/>
    </row>
    <row r="139" customFormat="false" ht="16.5" hidden="false" customHeight="true" outlineLevel="0" collapsed="false">
      <c r="A139" s="24" t="s">
        <v>7</v>
      </c>
      <c r="B139" s="25" t="s">
        <v>12</v>
      </c>
      <c r="C139" s="26" t="n">
        <v>12</v>
      </c>
      <c r="D139" s="24" t="s">
        <v>50</v>
      </c>
      <c r="E139" s="24" t="s">
        <v>50</v>
      </c>
      <c r="F139" s="24" t="s">
        <v>449</v>
      </c>
      <c r="G139" s="27" t="s">
        <v>450</v>
      </c>
      <c r="H139" s="27" t="s">
        <v>451</v>
      </c>
      <c r="I139" s="24" t="s">
        <v>102</v>
      </c>
      <c r="J139" s="25"/>
    </row>
    <row r="140" customFormat="false" ht="16.5" hidden="false" customHeight="true" outlineLevel="0" collapsed="false">
      <c r="A140" s="24" t="s">
        <v>7</v>
      </c>
      <c r="B140" s="25" t="s">
        <v>12</v>
      </c>
      <c r="C140" s="26" t="n">
        <v>12</v>
      </c>
      <c r="D140" s="24" t="s">
        <v>50</v>
      </c>
      <c r="E140" s="24" t="s">
        <v>50</v>
      </c>
      <c r="F140" s="24" t="s">
        <v>452</v>
      </c>
      <c r="G140" s="27" t="s">
        <v>453</v>
      </c>
      <c r="H140" s="27" t="s">
        <v>454</v>
      </c>
      <c r="I140" s="24" t="s">
        <v>102</v>
      </c>
      <c r="J140" s="25"/>
    </row>
    <row r="141" customFormat="false" ht="16.5" hidden="false" customHeight="true" outlineLevel="0" collapsed="false">
      <c r="A141" s="24" t="s">
        <v>7</v>
      </c>
      <c r="B141" s="25" t="s">
        <v>12</v>
      </c>
      <c r="C141" s="26" t="n">
        <v>13</v>
      </c>
      <c r="D141" s="24" t="s">
        <v>52</v>
      </c>
      <c r="E141" s="24" t="s">
        <v>52</v>
      </c>
      <c r="F141" s="24" t="s">
        <v>455</v>
      </c>
      <c r="G141" s="27" t="s">
        <v>456</v>
      </c>
      <c r="H141" s="27" t="s">
        <v>457</v>
      </c>
      <c r="I141" s="24" t="s">
        <v>102</v>
      </c>
      <c r="J141" s="25"/>
    </row>
    <row r="142" customFormat="false" ht="16.5" hidden="false" customHeight="true" outlineLevel="0" collapsed="false">
      <c r="A142" s="24" t="s">
        <v>7</v>
      </c>
      <c r="B142" s="25" t="s">
        <v>12</v>
      </c>
      <c r="C142" s="26" t="n">
        <v>13</v>
      </c>
      <c r="D142" s="24" t="s">
        <v>52</v>
      </c>
      <c r="E142" s="24" t="s">
        <v>52</v>
      </c>
      <c r="F142" s="25" t="s">
        <v>458</v>
      </c>
      <c r="G142" s="27" t="s">
        <v>459</v>
      </c>
      <c r="H142" s="27" t="s">
        <v>460</v>
      </c>
      <c r="I142" s="24" t="s">
        <v>102</v>
      </c>
      <c r="J142" s="25"/>
    </row>
    <row r="143" customFormat="false" ht="16.5" hidden="false" customHeight="true" outlineLevel="0" collapsed="false">
      <c r="A143" s="24" t="s">
        <v>7</v>
      </c>
      <c r="B143" s="25" t="s">
        <v>12</v>
      </c>
      <c r="C143" s="26" t="n">
        <v>13</v>
      </c>
      <c r="D143" s="24" t="s">
        <v>52</v>
      </c>
      <c r="E143" s="24" t="s">
        <v>52</v>
      </c>
      <c r="F143" s="24" t="s">
        <v>461</v>
      </c>
      <c r="G143" s="27" t="s">
        <v>462</v>
      </c>
      <c r="H143" s="27" t="s">
        <v>463</v>
      </c>
      <c r="I143" s="24" t="s">
        <v>102</v>
      </c>
      <c r="J143" s="25"/>
    </row>
    <row r="144" customFormat="false" ht="16.5" hidden="false" customHeight="true" outlineLevel="0" collapsed="false">
      <c r="A144" s="24" t="s">
        <v>7</v>
      </c>
      <c r="B144" s="25" t="s">
        <v>12</v>
      </c>
      <c r="C144" s="26" t="n">
        <v>13</v>
      </c>
      <c r="D144" s="24" t="s">
        <v>52</v>
      </c>
      <c r="E144" s="24" t="s">
        <v>52</v>
      </c>
      <c r="F144" s="24" t="s">
        <v>464</v>
      </c>
      <c r="G144" s="27" t="s">
        <v>465</v>
      </c>
      <c r="H144" s="27" t="s">
        <v>466</v>
      </c>
      <c r="I144" s="24" t="s">
        <v>102</v>
      </c>
      <c r="J144" s="25"/>
    </row>
    <row r="145" customFormat="false" ht="16.5" hidden="false" customHeight="true" outlineLevel="0" collapsed="false">
      <c r="A145" s="24" t="s">
        <v>7</v>
      </c>
      <c r="B145" s="25" t="s">
        <v>12</v>
      </c>
      <c r="C145" s="26" t="n">
        <v>14</v>
      </c>
      <c r="D145" s="25" t="s">
        <v>55</v>
      </c>
      <c r="E145" s="25" t="s">
        <v>243</v>
      </c>
      <c r="F145" s="24" t="s">
        <v>467</v>
      </c>
      <c r="G145" s="27" t="s">
        <v>468</v>
      </c>
      <c r="H145" s="27" t="s">
        <v>469</v>
      </c>
      <c r="I145" s="24" t="s">
        <v>102</v>
      </c>
      <c r="J145" s="25"/>
    </row>
    <row r="146" customFormat="false" ht="16.5" hidden="false" customHeight="true" outlineLevel="0" collapsed="false">
      <c r="A146" s="24" t="s">
        <v>7</v>
      </c>
      <c r="B146" s="25" t="s">
        <v>12</v>
      </c>
      <c r="C146" s="26" t="n">
        <v>15</v>
      </c>
      <c r="D146" s="24" t="s">
        <v>59</v>
      </c>
      <c r="E146" s="25" t="s">
        <v>470</v>
      </c>
      <c r="F146" s="24" t="s">
        <v>471</v>
      </c>
      <c r="G146" s="27" t="s">
        <v>472</v>
      </c>
      <c r="H146" s="27" t="s">
        <v>473</v>
      </c>
      <c r="I146" s="24" t="s">
        <v>102</v>
      </c>
      <c r="J146" s="25"/>
    </row>
    <row r="147" customFormat="false" ht="16.5" hidden="false" customHeight="true" outlineLevel="0" collapsed="false">
      <c r="A147" s="24" t="s">
        <v>7</v>
      </c>
      <c r="B147" s="25" t="s">
        <v>12</v>
      </c>
      <c r="C147" s="26" t="n">
        <v>15</v>
      </c>
      <c r="D147" s="24" t="s">
        <v>59</v>
      </c>
      <c r="E147" s="25" t="s">
        <v>470</v>
      </c>
      <c r="F147" s="24" t="s">
        <v>474</v>
      </c>
      <c r="G147" s="27" t="s">
        <v>475</v>
      </c>
      <c r="H147" s="27" t="s">
        <v>476</v>
      </c>
      <c r="I147" s="24" t="s">
        <v>102</v>
      </c>
      <c r="J147" s="25"/>
    </row>
    <row r="148" customFormat="false" ht="16.5" hidden="false" customHeight="true" outlineLevel="0" collapsed="false">
      <c r="A148" s="24" t="s">
        <v>7</v>
      </c>
      <c r="B148" s="25" t="s">
        <v>12</v>
      </c>
      <c r="C148" s="26" t="n">
        <v>16</v>
      </c>
      <c r="D148" s="24" t="s">
        <v>62</v>
      </c>
      <c r="E148" s="24" t="s">
        <v>62</v>
      </c>
      <c r="F148" s="24" t="s">
        <v>477</v>
      </c>
      <c r="G148" s="27" t="s">
        <v>478</v>
      </c>
      <c r="H148" s="27" t="s">
        <v>479</v>
      </c>
      <c r="I148" s="24" t="s">
        <v>102</v>
      </c>
      <c r="J148" s="25"/>
    </row>
    <row r="149" customFormat="false" ht="16.5" hidden="false" customHeight="true" outlineLevel="0" collapsed="false">
      <c r="A149" s="24" t="s">
        <v>7</v>
      </c>
      <c r="B149" s="25" t="s">
        <v>12</v>
      </c>
      <c r="C149" s="26" t="n">
        <v>16</v>
      </c>
      <c r="D149" s="24" t="s">
        <v>62</v>
      </c>
      <c r="E149" s="24" t="s">
        <v>62</v>
      </c>
      <c r="F149" s="24" t="s">
        <v>480</v>
      </c>
      <c r="G149" s="27" t="s">
        <v>481</v>
      </c>
      <c r="H149" s="27" t="s">
        <v>482</v>
      </c>
      <c r="I149" s="24" t="s">
        <v>102</v>
      </c>
      <c r="J149" s="25"/>
    </row>
    <row r="150" customFormat="false" ht="16.5" hidden="false" customHeight="true" outlineLevel="0" collapsed="false">
      <c r="A150" s="24" t="s">
        <v>7</v>
      </c>
      <c r="B150" s="25" t="s">
        <v>12</v>
      </c>
      <c r="C150" s="26" t="n">
        <v>17</v>
      </c>
      <c r="D150" s="25" t="s">
        <v>66</v>
      </c>
      <c r="E150" s="25" t="s">
        <v>66</v>
      </c>
      <c r="F150" s="24" t="s">
        <v>483</v>
      </c>
      <c r="G150" s="27" t="s">
        <v>484</v>
      </c>
      <c r="H150" s="27" t="s">
        <v>485</v>
      </c>
      <c r="I150" s="24" t="s">
        <v>102</v>
      </c>
      <c r="J150" s="24" t="s">
        <v>486</v>
      </c>
    </row>
    <row r="151" customFormat="false" ht="16.5" hidden="false" customHeight="true" outlineLevel="0" collapsed="false">
      <c r="A151" s="24" t="s">
        <v>7</v>
      </c>
      <c r="B151" s="25" t="s">
        <v>12</v>
      </c>
      <c r="C151" s="26" t="n">
        <v>17</v>
      </c>
      <c r="D151" s="25" t="s">
        <v>66</v>
      </c>
      <c r="E151" s="25" t="s">
        <v>66</v>
      </c>
      <c r="F151" s="24" t="s">
        <v>487</v>
      </c>
      <c r="G151" s="27" t="s">
        <v>488</v>
      </c>
      <c r="H151" s="27" t="s">
        <v>489</v>
      </c>
      <c r="I151" s="24" t="s">
        <v>102</v>
      </c>
      <c r="J151" s="25"/>
    </row>
    <row r="152" customFormat="false" ht="17.15" hidden="false" customHeight="false" outlineLevel="0" collapsed="false">
      <c r="A152" s="28" t="s">
        <v>7</v>
      </c>
      <c r="B152" s="29" t="s">
        <v>12</v>
      </c>
      <c r="C152" s="29" t="n">
        <v>14</v>
      </c>
      <c r="D152" s="29" t="s">
        <v>55</v>
      </c>
      <c r="E152" s="28" t="s">
        <v>490</v>
      </c>
      <c r="F152" s="28" t="s">
        <v>491</v>
      </c>
      <c r="G152" s="29" t="s">
        <v>492</v>
      </c>
      <c r="H152" s="29" t="s">
        <v>493</v>
      </c>
      <c r="I152" s="28" t="s">
        <v>127</v>
      </c>
      <c r="J152" s="28" t="s">
        <v>494</v>
      </c>
    </row>
    <row r="153" customFormat="false" ht="17.15" hidden="false" customHeight="false" outlineLevel="0" collapsed="false">
      <c r="A153" s="28" t="s">
        <v>7</v>
      </c>
      <c r="B153" s="29" t="s">
        <v>12</v>
      </c>
      <c r="C153" s="29" t="n">
        <v>7</v>
      </c>
      <c r="D153" s="28" t="s">
        <v>33</v>
      </c>
      <c r="E153" s="28" t="s">
        <v>490</v>
      </c>
      <c r="F153" s="28" t="s">
        <v>495</v>
      </c>
      <c r="G153" s="29" t="s">
        <v>496</v>
      </c>
      <c r="H153" s="29" t="s">
        <v>497</v>
      </c>
      <c r="I153" s="28" t="s">
        <v>127</v>
      </c>
      <c r="J153" s="28" t="s">
        <v>498</v>
      </c>
    </row>
  </sheetData>
  <autoFilter ref="A1:J153"/>
  <conditionalFormatting sqref="A2:J151">
    <cfRule type="expression" priority="2" aboveAverage="0" equalAverage="0" bottom="0" percent="0" rank="0" text="" dxfId="8">
      <formula>$I2="구간 이동"</formula>
    </cfRule>
    <cfRule type="expression" priority="3" aboveAverage="0" equalAverage="0" bottom="0" percent="0" rank="0" text="" dxfId="9">
      <formula>$I2="추가"</formula>
    </cfRule>
    <cfRule type="expression" priority="4" aboveAverage="0" equalAverage="0" bottom="0" percent="0" rank="0" text="" dxfId="10">
      <formula>$I2="제외 후보"</formula>
    </cfRule>
    <cfRule type="expression" priority="5" aboveAverage="0" equalAverage="0" bottom="0" percent="0" rank="0" text="" dxfId="11">
      <formula>$I2="탭 밖 이동"</formula>
    </cfRule>
  </conditionalFormatting>
  <dataValidations count="1">
    <dataValidation allowBlank="false" errorStyle="stop" operator="between" showDropDown="false" showErrorMessage="false" showInputMessage="false" sqref="I2:I151" type="list">
      <formula1>"유지,구간 이동,추가,제외 후보,탭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2026-10-15T04:31:58Z</dcterms:created>
  <dc:creator>openpyxl</dc:creator>
  <dc:description/>
  <dc:language>en-US</dc:language>
  <cp:lastModifiedBy/>
  <dcterms:modified xsi:type="dcterms:W3CDTF">2026-10-17T17:04:05Z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