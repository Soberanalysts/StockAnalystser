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목록'!$A$1:$I$92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<sst xmlns="http://schemas.openxmlformats.org/spreadsheetml/2006/main" count="816" uniqueCount="308">
  <si>
    <r>
      <rPr>
        <b val="true"/>
        <sz val="14"/>
        <rFont val="Arial"/>
        <family val="0"/>
        <charset val="1"/>
      </rPr>
      <t xml:space="preserve">10 </t>
    </r>
    <r>
      <rPr>
        <b val="true"/>
        <sz val="14"/>
        <rFont val="Noto Sans CJK SC"/>
        <family val="2"/>
      </rPr>
      <t xml:space="preserve">금융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핀테크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</si>
  <si>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</si>
  <si>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</si>
  <si>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</si>
  <si>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</si>
  <si>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</si>
  <si>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</si>
  <si>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</si>
  <si>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</si>
  <si>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</si>
  <si>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은행</t>
  </si>
  <si>
    <r>
      <rPr>
        <sz val="11"/>
        <rFont val="Arial"/>
        <family val="0"/>
        <charset val="1"/>
      </rPr>
      <t xml:space="preserve">KB</t>
    </r>
    <r>
      <rPr>
        <sz val="11"/>
        <rFont val="Noto Sans CJK SC"/>
        <family val="2"/>
      </rPr>
      <t xml:space="preserve">금융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우리금융지주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메리츠금융지주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기업은행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하나금융지주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카카오뱅크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신한지주</t>
    </r>
    <r>
      <rPr>
        <sz val="11"/>
        <rFont val="Arial"/>
        <family val="0"/>
        <charset val="1"/>
      </rPr>
      <t xml:space="preserve">, BNK</t>
    </r>
    <r>
      <rPr>
        <sz val="11"/>
        <rFont val="Noto Sans CJK SC"/>
        <family val="2"/>
      </rPr>
      <t xml:space="preserve">금융지주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제주은행</t>
    </r>
    <r>
      <rPr>
        <sz val="11"/>
        <rFont val="Arial"/>
        <family val="0"/>
        <charset val="1"/>
      </rPr>
      <t xml:space="preserve">, JB</t>
    </r>
    <r>
      <rPr>
        <sz val="11"/>
        <rFont val="Noto Sans CJK SC"/>
        <family val="2"/>
      </rPr>
      <t xml:space="preserve">금융지주</t>
    </r>
    <r>
      <rPr>
        <sz val="11"/>
        <rFont val="Arial"/>
        <family val="0"/>
        <charset val="1"/>
      </rPr>
      <t xml:space="preserve">, iM</t>
    </r>
    <r>
      <rPr>
        <sz val="11"/>
        <rFont val="Noto Sans CJK SC"/>
        <family val="2"/>
      </rPr>
      <t xml:space="preserve">금융지주</t>
    </r>
  </si>
  <si>
    <r>
      <rPr>
        <sz val="11"/>
        <rFont val="Noto Sans CJK SC"/>
        <family val="2"/>
      </rPr>
      <t xml:space="preserve">뱅크오브아메리카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제이피모간 체이스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웰스파고</t>
    </r>
  </si>
  <si>
    <r>
      <rPr>
        <sz val="11"/>
        <rFont val="Noto Sans CJK SC"/>
        <family val="2"/>
      </rPr>
      <t xml:space="preserve">미쓰비시</t>
    </r>
    <r>
      <rPr>
        <sz val="11"/>
        <rFont val="Arial"/>
        <family val="0"/>
        <charset val="1"/>
      </rPr>
      <t xml:space="preserve">UFJ</t>
    </r>
    <r>
      <rPr>
        <sz val="11"/>
        <rFont val="Noto Sans CJK SC"/>
        <family val="2"/>
      </rPr>
      <t xml:space="preserve">파이낸셜그룹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미쓰이스미토모파이낸셜그룹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미즈호파이낸셜그룹</t>
    </r>
  </si>
  <si>
    <t xml:space="preserve">증권</t>
  </si>
  <si>
    <r>
      <rPr>
        <sz val="11"/>
        <rFont val="Noto Sans CJK SC"/>
        <family val="2"/>
      </rPr>
      <t xml:space="preserve">미래에셋증권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키움증권</t>
    </r>
    <r>
      <rPr>
        <sz val="11"/>
        <rFont val="Arial"/>
        <family val="0"/>
        <charset val="1"/>
      </rPr>
      <t xml:space="preserve">, NH</t>
    </r>
    <r>
      <rPr>
        <sz val="11"/>
        <rFont val="Noto Sans CJK SC"/>
        <family val="2"/>
      </rPr>
      <t xml:space="preserve">투자증권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부국증권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신영증권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교보증권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대신증권</t>
    </r>
    <r>
      <rPr>
        <sz val="11"/>
        <rFont val="Arial"/>
        <family val="0"/>
        <charset val="1"/>
      </rPr>
      <t xml:space="preserve">, DB</t>
    </r>
    <r>
      <rPr>
        <sz val="11"/>
        <rFont val="Noto Sans CJK SC"/>
        <family val="2"/>
      </rPr>
      <t xml:space="preserve">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유진투자증권</t>
    </r>
    <r>
      <rPr>
        <sz val="11"/>
        <rFont val="Arial"/>
        <family val="0"/>
        <charset val="1"/>
      </rPr>
      <t xml:space="preserve">, LS</t>
    </r>
    <r>
      <rPr>
        <sz val="11"/>
        <rFont val="Noto Sans CJK SC"/>
        <family val="2"/>
      </rPr>
      <t xml:space="preserve">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현대차증권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한화투자증권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증권</t>
    </r>
  </si>
  <si>
    <r>
      <rPr>
        <sz val="11"/>
        <rFont val="Noto Sans CJK SC"/>
        <family val="2"/>
      </rPr>
      <t xml:space="preserve">로빈후드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찰스 슈왑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골드만삭스</t>
    </r>
  </si>
  <si>
    <r>
      <rPr>
        <sz val="11"/>
        <rFont val="Noto Sans CJK SC"/>
        <family val="2"/>
      </rPr>
      <t xml:space="preserve">노무라홀딩스</t>
    </r>
    <r>
      <rPr>
        <sz val="11"/>
        <rFont val="Arial"/>
        <family val="0"/>
        <charset val="1"/>
      </rPr>
      <t xml:space="preserve">, SBI</t>
    </r>
    <r>
      <rPr>
        <sz val="11"/>
        <rFont val="Noto Sans CJK SC"/>
        <family val="2"/>
      </rPr>
      <t xml:space="preserve">홀딩스</t>
    </r>
  </si>
  <si>
    <t xml:space="preserve">손해보험</t>
  </si>
  <si>
    <r>
      <rPr>
        <sz val="11"/>
        <rFont val="Noto Sans CJK SC"/>
        <family val="2"/>
      </rPr>
      <t xml:space="preserve">한화손해보험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흥국화재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롯데손해보험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현대해상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삼성화재</t>
    </r>
    <r>
      <rPr>
        <sz val="11"/>
        <rFont val="Arial"/>
        <family val="0"/>
        <charset val="1"/>
      </rPr>
      <t xml:space="preserve">, DB</t>
    </r>
    <r>
      <rPr>
        <sz val="11"/>
        <rFont val="Noto Sans CJK SC"/>
        <family val="2"/>
      </rPr>
      <t xml:space="preserve">손해보험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서울보증보험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코리안리</t>
    </r>
  </si>
  <si>
    <t xml:space="preserve">처브</t>
  </si>
  <si>
    <t xml:space="preserve">도쿄해상홀딩스</t>
  </si>
  <si>
    <t xml:space="preserve">생명보험</t>
  </si>
  <si>
    <r>
      <rPr>
        <sz val="11"/>
        <rFont val="Noto Sans CJK SC"/>
        <family val="2"/>
      </rPr>
      <t xml:space="preserve">한화생명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삼성생명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미래에셋생명</t>
    </r>
  </si>
  <si>
    <t xml:space="preserve">메트라이프</t>
  </si>
  <si>
    <t xml:space="preserve">다이이치생명홀딩스</t>
  </si>
  <si>
    <t xml:space="preserve">결제 핀테크</t>
  </si>
  <si>
    <r>
      <rPr>
        <sz val="11"/>
        <rFont val="Arial"/>
        <family val="0"/>
        <charset val="1"/>
      </rPr>
      <t xml:space="preserve">NHN KCP, </t>
    </r>
    <r>
      <rPr>
        <sz val="11"/>
        <rFont val="Noto Sans CJK SC"/>
        <family val="2"/>
      </rPr>
      <t xml:space="preserve">헥토파이낸셜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헥토이노베이션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핑거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쿠콘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한국정보인증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카카오페이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더즌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삼성카드</t>
    </r>
  </si>
  <si>
    <r>
      <rPr>
        <sz val="11"/>
        <rFont val="Noto Sans CJK SC"/>
        <family val="2"/>
      </rPr>
      <t xml:space="preserve">마스타카드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아메리칸 엑스프레스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페이팔 홀딩스</t>
    </r>
  </si>
  <si>
    <r>
      <rPr>
        <sz val="11"/>
        <rFont val="Arial"/>
        <family val="0"/>
        <charset val="1"/>
      </rPr>
      <t xml:space="preserve">GMO</t>
    </r>
    <r>
      <rPr>
        <sz val="11"/>
        <rFont val="Noto Sans CJK SC"/>
        <family val="2"/>
      </rPr>
      <t xml:space="preserve">페이먼트게이트웨이</t>
    </r>
  </si>
  <si>
    <t xml:space="preserve">디지털자산</t>
  </si>
  <si>
    <r>
      <rPr>
        <sz val="11"/>
        <rFont val="Noto Sans CJK SC"/>
        <family val="2"/>
      </rPr>
      <t xml:space="preserve">한컴위드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아이티센글로벌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형지글로벌</t>
    </r>
    <r>
      <rPr>
        <sz val="11"/>
        <rFont val="Arial"/>
        <family val="0"/>
        <charset val="1"/>
      </rPr>
      <t xml:space="preserve">, LG</t>
    </r>
    <r>
      <rPr>
        <sz val="11"/>
        <rFont val="Noto Sans CJK SC"/>
        <family val="2"/>
      </rPr>
      <t xml:space="preserve">씨엔에스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미투온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넥써쓰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우리기술투자</t>
    </r>
  </si>
  <si>
    <r>
      <rPr>
        <sz val="11"/>
        <rFont val="Noto Sans CJK SC"/>
        <family val="2"/>
      </rPr>
      <t xml:space="preserve">스트래티지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코인베이스 글로벌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써클 인터넷 그룹</t>
    </r>
  </si>
  <si>
    <t xml:space="preserve">모넥스그룹</t>
  </si>
  <si>
    <t xml:space="preserve">자산운용 투자</t>
  </si>
  <si>
    <r>
      <rPr>
        <sz val="11"/>
        <rFont val="Noto Sans CJK SC"/>
        <family val="2"/>
      </rPr>
      <t xml:space="preserve">아주</t>
    </r>
    <r>
      <rPr>
        <sz val="11"/>
        <rFont val="Arial"/>
        <family val="0"/>
        <charset val="1"/>
      </rPr>
      <t xml:space="preserve">IB</t>
    </r>
    <r>
      <rPr>
        <sz val="11"/>
        <rFont val="Noto Sans CJK SC"/>
        <family val="2"/>
      </rPr>
      <t xml:space="preserve">투자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미래에셋벤처투자</t>
    </r>
    <r>
      <rPr>
        <sz val="11"/>
        <rFont val="Arial"/>
        <family val="0"/>
        <charset val="1"/>
      </rPr>
      <t xml:space="preserve">, DSC</t>
    </r>
    <r>
      <rPr>
        <sz val="11"/>
        <rFont val="Noto Sans CJK SC"/>
        <family val="2"/>
      </rPr>
      <t xml:space="preserve">인베스트먼트</t>
    </r>
    <r>
      <rPr>
        <sz val="11"/>
        <rFont val="Arial"/>
        <family val="0"/>
        <charset val="1"/>
      </rPr>
      <t xml:space="preserve">, TS</t>
    </r>
    <r>
      <rPr>
        <sz val="11"/>
        <rFont val="Noto Sans CJK SC"/>
        <family val="2"/>
      </rPr>
      <t xml:space="preserve">인베스트먼트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포바이포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스톤브릿지벤처스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에이티넘인베스트</t>
    </r>
  </si>
  <si>
    <r>
      <rPr>
        <sz val="11"/>
        <rFont val="Noto Sans CJK SC"/>
        <family val="2"/>
      </rPr>
      <t xml:space="preserve">버크셔 해서웨이 </t>
    </r>
    <r>
      <rPr>
        <sz val="11"/>
        <rFont val="Arial"/>
        <family val="0"/>
        <charset val="1"/>
      </rPr>
      <t xml:space="preserve">B, </t>
    </r>
    <r>
      <rPr>
        <sz val="11"/>
        <rFont val="Noto Sans CJK SC"/>
        <family val="2"/>
      </rPr>
      <t xml:space="preserve">브룩필드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블랙스톤</t>
    </r>
  </si>
  <si>
    <t xml:space="preserve">오릭스</t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</si>
  <si>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</si>
  <si>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</si>
  <si>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</si>
  <si>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</si>
  <si>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</si>
  <si>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</si>
  <si>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스테이블코인</t>
    </r>
  </si>
  <si>
    <t xml:space="preserve">NHN KCP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</si>
  <si>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금융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핀테크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결제 핀테크</t>
    </r>
  </si>
  <si>
    <t xml:space="preserve">헥토파이낸셜</t>
  </si>
  <si>
    <t xml:space="preserve">아톤</t>
  </si>
  <si>
    <t xml:space="preserve">헥토이노베이션</t>
  </si>
  <si>
    <t xml:space="preserve">다날</t>
  </si>
  <si>
    <t xml:space="preserve">핑거</t>
  </si>
  <si>
    <t xml:space="preserve">쿠콘</t>
  </si>
  <si>
    <t xml:space="preserve">한국정보인증</t>
  </si>
  <si>
    <t xml:space="preserve">카카오페이</t>
  </si>
  <si>
    <t xml:space="preserve">더즌</t>
  </si>
  <si>
    <t xml:space="preserve">한컴위드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</si>
  <si>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금융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핀테크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디지털자산</t>
    </r>
  </si>
  <si>
    <t xml:space="preserve">아이티센글로벌</t>
  </si>
  <si>
    <t xml:space="preserve">형지글로벌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</si>
  <si>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씨엔에스</t>
    </r>
  </si>
  <si>
    <t xml:space="preserve">미투온</t>
  </si>
  <si>
    <t xml:space="preserve">넥써쓰</t>
  </si>
  <si>
    <t xml:space="preserve">우리기술투자</t>
  </si>
  <si>
    <t xml:space="preserve">NAVER</t>
  </si>
  <si>
    <r>
      <rPr>
        <sz val="11"/>
        <rFont val="Arial"/>
        <family val="0"/>
        <charset val="1"/>
      </rPr>
      <t xml:space="preserve">(09 SW</t>
    </r>
    <r>
      <rPr>
        <sz val="11"/>
        <rFont val="Noto Sans CJK SC"/>
        <family val="2"/>
      </rPr>
      <t xml:space="preserve">로 이동</t>
    </r>
    <r>
      <rPr>
        <sz val="11"/>
        <rFont val="Arial"/>
        <family val="0"/>
        <charset val="1"/>
      </rPr>
      <t xml:space="preserve">)</t>
    </r>
  </si>
  <si>
    <t xml:space="preserve">카카오</t>
  </si>
  <si>
    <r>
      <rPr>
        <sz val="11"/>
        <rFont val="Noto Sans CJK SC"/>
        <family val="2"/>
      </rPr>
      <t xml:space="preserve">미국 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풍력</t>
    </r>
  </si>
  <si>
    <t xml:space="preserve">브룩필드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</si>
  <si>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금융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핀테크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자산운용 투자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</si>
  <si>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</si>
  <si>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</si>
  <si>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</si>
  <si>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</si>
  <si>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</si>
  <si>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</si>
  <si>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은행</t>
    </r>
  </si>
  <si>
    <r>
      <rPr>
        <sz val="11"/>
        <rFont val="Arial"/>
        <family val="0"/>
        <charset val="1"/>
      </rPr>
      <t xml:space="preserve">KB</t>
    </r>
    <r>
      <rPr>
        <sz val="11"/>
        <rFont val="Noto Sans CJK SC"/>
        <family val="2"/>
      </rPr>
      <t xml:space="preserve">금융</t>
    </r>
  </si>
  <si>
    <t xml:space="preserve">105560</t>
  </si>
  <si>
    <t xml:space="preserve">유지</t>
  </si>
  <si>
    <t xml:space="preserve">우리금융지주</t>
  </si>
  <si>
    <t xml:space="preserve">316140</t>
  </si>
  <si>
    <t xml:space="preserve">메리츠금융지주</t>
  </si>
  <si>
    <t xml:space="preserve">138040</t>
  </si>
  <si>
    <r>
      <rPr>
        <sz val="11"/>
        <rFont val="Noto Sans CJK SC"/>
        <family val="2"/>
      </rPr>
      <t xml:space="preserve">보험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증권 중심 금융지주</t>
    </r>
  </si>
  <si>
    <t xml:space="preserve">기업은행</t>
  </si>
  <si>
    <t xml:space="preserve">024110</t>
  </si>
  <si>
    <t xml:space="preserve">하나금융지주</t>
  </si>
  <si>
    <t xml:space="preserve">086790</t>
  </si>
  <si>
    <t xml:space="preserve">카카오뱅크</t>
  </si>
  <si>
    <t xml:space="preserve">323410</t>
  </si>
  <si>
    <t xml:space="preserve">인터넷은행</t>
  </si>
  <si>
    <t xml:space="preserve">신한지주</t>
  </si>
  <si>
    <t xml:space="preserve">055550</t>
  </si>
  <si>
    <r>
      <rPr>
        <sz val="11"/>
        <rFont val="Arial"/>
        <family val="0"/>
        <charset val="1"/>
      </rPr>
      <t xml:space="preserve">BNK</t>
    </r>
    <r>
      <rPr>
        <sz val="11"/>
        <rFont val="Noto Sans CJK SC"/>
        <family val="2"/>
      </rPr>
      <t xml:space="preserve">금융지주</t>
    </r>
  </si>
  <si>
    <t xml:space="preserve">138930</t>
  </si>
  <si>
    <t xml:space="preserve">제주은행</t>
  </si>
  <si>
    <t xml:space="preserve">006220</t>
  </si>
  <si>
    <r>
      <rPr>
        <sz val="11"/>
        <rFont val="Arial"/>
        <family val="0"/>
        <charset val="1"/>
      </rPr>
      <t xml:space="preserve">JB</t>
    </r>
    <r>
      <rPr>
        <sz val="11"/>
        <rFont val="Noto Sans CJK SC"/>
        <family val="2"/>
      </rPr>
      <t xml:space="preserve">금융지주</t>
    </r>
  </si>
  <si>
    <t xml:space="preserve">175330</t>
  </si>
  <si>
    <r>
      <rPr>
        <sz val="11"/>
        <rFont val="Arial"/>
        <family val="0"/>
        <charset val="1"/>
      </rPr>
      <t xml:space="preserve">iM</t>
    </r>
    <r>
      <rPr>
        <sz val="11"/>
        <rFont val="Noto Sans CJK SC"/>
        <family val="2"/>
      </rPr>
      <t xml:space="preserve">금융지주</t>
    </r>
  </si>
  <si>
    <t xml:space="preserve">139130</t>
  </si>
  <si>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증권</t>
    </r>
  </si>
  <si>
    <t xml:space="preserve">미래에셋증권</t>
  </si>
  <si>
    <t xml:space="preserve">006800</t>
  </si>
  <si>
    <t xml:space="preserve">삼성증권</t>
  </si>
  <si>
    <t xml:space="preserve">016360</t>
  </si>
  <si>
    <t xml:space="preserve">키움증권</t>
  </si>
  <si>
    <t xml:space="preserve">039490</t>
  </si>
  <si>
    <r>
      <rPr>
        <sz val="11"/>
        <rFont val="Arial"/>
        <family val="0"/>
        <charset val="1"/>
      </rPr>
      <t xml:space="preserve">NH</t>
    </r>
    <r>
      <rPr>
        <sz val="11"/>
        <rFont val="Noto Sans CJK SC"/>
        <family val="2"/>
      </rPr>
      <t xml:space="preserve">투자증권</t>
    </r>
  </si>
  <si>
    <t xml:space="preserve">005940</t>
  </si>
  <si>
    <t xml:space="preserve">부국증권</t>
  </si>
  <si>
    <t xml:space="preserve">001270</t>
  </si>
  <si>
    <t xml:space="preserve">신영증권</t>
  </si>
  <si>
    <t xml:space="preserve">001720</t>
  </si>
  <si>
    <t xml:space="preserve">교보증권</t>
  </si>
  <si>
    <t xml:space="preserve">030610</t>
  </si>
  <si>
    <t xml:space="preserve">대신증권</t>
  </si>
  <si>
    <t xml:space="preserve">003540</t>
  </si>
  <si>
    <r>
      <rPr>
        <sz val="11"/>
        <rFont val="Arial"/>
        <family val="0"/>
        <charset val="1"/>
      </rPr>
      <t xml:space="preserve">DB</t>
    </r>
    <r>
      <rPr>
        <sz val="11"/>
        <rFont val="Noto Sans CJK SC"/>
        <family val="2"/>
      </rPr>
      <t xml:space="preserve">증권</t>
    </r>
  </si>
  <si>
    <t xml:space="preserve">016610</t>
  </si>
  <si>
    <t xml:space="preserve">유진투자증권</t>
  </si>
  <si>
    <t xml:space="preserve">001200</t>
  </si>
  <si>
    <r>
      <rPr>
        <sz val="11"/>
        <rFont val="Arial"/>
        <family val="0"/>
        <charset val="1"/>
      </rPr>
      <t xml:space="preserve">LS</t>
    </r>
    <r>
      <rPr>
        <sz val="11"/>
        <rFont val="Noto Sans CJK SC"/>
        <family val="2"/>
      </rPr>
      <t xml:space="preserve">증권</t>
    </r>
  </si>
  <si>
    <t xml:space="preserve">078020</t>
  </si>
  <si>
    <t xml:space="preserve">현대차증권</t>
  </si>
  <si>
    <t xml:space="preserve">001500</t>
  </si>
  <si>
    <t xml:space="preserve">한화투자증권</t>
  </si>
  <si>
    <t xml:space="preserve">003530</t>
  </si>
  <si>
    <r>
      <rPr>
        <sz val="11"/>
        <rFont val="Noto Sans CJK SC"/>
        <family val="2"/>
      </rPr>
      <t xml:space="preserve">두나무 지분 보유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코인 연동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</si>
  <si>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증권</t>
    </r>
  </si>
  <si>
    <t xml:space="preserve">001510</t>
  </si>
  <si>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보험</t>
    </r>
  </si>
  <si>
    <t xml:space="preserve">한화손해보험</t>
  </si>
  <si>
    <t xml:space="preserve">000370</t>
  </si>
  <si>
    <t xml:space="preserve">흥국화재</t>
  </si>
  <si>
    <t xml:space="preserve">000540</t>
  </si>
  <si>
    <t xml:space="preserve">롯데손해보험</t>
  </si>
  <si>
    <t xml:space="preserve">000400</t>
  </si>
  <si>
    <t xml:space="preserve">현대해상</t>
  </si>
  <si>
    <t xml:space="preserve">001450</t>
  </si>
  <si>
    <t xml:space="preserve">삼성화재</t>
  </si>
  <si>
    <t xml:space="preserve">000810</t>
  </si>
  <si>
    <r>
      <rPr>
        <sz val="11"/>
        <rFont val="Arial"/>
        <family val="0"/>
        <charset val="1"/>
      </rPr>
      <t xml:space="preserve">DB</t>
    </r>
    <r>
      <rPr>
        <sz val="11"/>
        <rFont val="Noto Sans CJK SC"/>
        <family val="2"/>
      </rPr>
      <t xml:space="preserve">손해보험</t>
    </r>
  </si>
  <si>
    <t xml:space="preserve">005830</t>
  </si>
  <si>
    <t xml:space="preserve">서울보증보험</t>
  </si>
  <si>
    <t xml:space="preserve">031210</t>
  </si>
  <si>
    <t xml:space="preserve">보증보험</t>
  </si>
  <si>
    <t xml:space="preserve">코리안리</t>
  </si>
  <si>
    <t xml:space="preserve">003690</t>
  </si>
  <si>
    <t xml:space="preserve">재보험</t>
  </si>
  <si>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생명</t>
    </r>
    <r>
      <rPr>
        <sz val="11"/>
        <rFont val="Arial"/>
        <family val="0"/>
        <charset val="1"/>
      </rPr>
      <t xml:space="preserve">)</t>
    </r>
  </si>
  <si>
    <t xml:space="preserve">한화생명</t>
  </si>
  <si>
    <t xml:space="preserve">088350</t>
  </si>
  <si>
    <t xml:space="preserve">삼성생명</t>
  </si>
  <si>
    <t xml:space="preserve">032830</t>
  </si>
  <si>
    <t xml:space="preserve">미래에셋생명</t>
  </si>
  <si>
    <t xml:space="preserve">085620</t>
  </si>
  <si>
    <t xml:space="preserve">060250</t>
  </si>
  <si>
    <t xml:space="preserve">추가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</si>
  <si>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 스테이블코인에서 이동</t>
    </r>
  </si>
  <si>
    <t xml:space="preserve">234340</t>
  </si>
  <si>
    <t xml:space="preserve">158430</t>
  </si>
  <si>
    <t xml:space="preserve">214180</t>
  </si>
  <si>
    <t xml:space="preserve">064260</t>
  </si>
  <si>
    <t xml:space="preserve">163730</t>
  </si>
  <si>
    <t xml:space="preserve">294570</t>
  </si>
  <si>
    <t xml:space="preserve">053300</t>
  </si>
  <si>
    <t xml:space="preserve">377300</t>
  </si>
  <si>
    <t xml:space="preserve">462860</t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</si>
  <si>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</si>
  <si>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삼성카드</t>
  </si>
  <si>
    <t xml:space="preserve">029780</t>
  </si>
  <si>
    <t xml:space="preserve">신규</t>
  </si>
  <si>
    <r>
      <rPr>
        <sz val="11"/>
        <rFont val="Noto Sans CJK SC"/>
        <family val="2"/>
      </rPr>
      <t xml:space="preserve">카드사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비자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마스터카드의 짝</t>
    </r>
  </si>
  <si>
    <t xml:space="preserve">054920</t>
  </si>
  <si>
    <t xml:space="preserve">124500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</si>
  <si>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 스테이블코인에서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 토큰</t>
    </r>
  </si>
  <si>
    <t xml:space="preserve">308100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</si>
  <si>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 스테이블코인에서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의류 업체</t>
    </r>
  </si>
  <si>
    <t xml:space="preserve">064400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</si>
  <si>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 스테이블코인에서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디지털화폐 인프라 </t>
    </r>
    <r>
      <rPr>
        <sz val="11"/>
        <rFont val="Arial"/>
        <family val="0"/>
        <charset val="1"/>
      </rPr>
      <t xml:space="preserve">(IT</t>
    </r>
    <r>
      <rPr>
        <sz val="11"/>
        <rFont val="Noto Sans CJK SC"/>
        <family val="2"/>
      </rPr>
      <t xml:space="preserve">서비스</t>
    </r>
    <r>
      <rPr>
        <sz val="11"/>
        <rFont val="Arial"/>
        <family val="0"/>
        <charset val="1"/>
      </rPr>
      <t xml:space="preserve">)</t>
    </r>
  </si>
  <si>
    <t xml:space="preserve">201490</t>
  </si>
  <si>
    <t xml:space="preserve">205500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</si>
  <si>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 스테이블코인에서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블록체인 게임</t>
    </r>
  </si>
  <si>
    <t xml:space="preserve">041190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</si>
  <si>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 스테이블코인에서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두나무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업비트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지분 보유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코인베이스와 연동</t>
    </r>
  </si>
  <si>
    <r>
      <rPr>
        <sz val="11"/>
        <rFont val="Noto Sans CJK SC"/>
        <family val="2"/>
      </rPr>
      <t xml:space="preserve">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창투사</t>
    </r>
  </si>
  <si>
    <r>
      <rPr>
        <sz val="11"/>
        <rFont val="Noto Sans CJK SC"/>
        <family val="2"/>
      </rPr>
      <t xml:space="preserve">아주</t>
    </r>
    <r>
      <rPr>
        <sz val="11"/>
        <rFont val="Arial"/>
        <family val="0"/>
        <charset val="1"/>
      </rPr>
      <t xml:space="preserve">IB</t>
    </r>
    <r>
      <rPr>
        <sz val="11"/>
        <rFont val="Noto Sans CJK SC"/>
        <family val="2"/>
      </rPr>
      <t xml:space="preserve">투자</t>
    </r>
  </si>
  <si>
    <t xml:space="preserve">027360</t>
  </si>
  <si>
    <t xml:space="preserve">미래에셋벤처투자</t>
  </si>
  <si>
    <t xml:space="preserve">100790</t>
  </si>
  <si>
    <r>
      <rPr>
        <sz val="11"/>
        <rFont val="Arial"/>
        <family val="0"/>
        <charset val="1"/>
      </rPr>
      <t xml:space="preserve">DSC</t>
    </r>
    <r>
      <rPr>
        <sz val="11"/>
        <rFont val="Noto Sans CJK SC"/>
        <family val="2"/>
      </rPr>
      <t xml:space="preserve">인베스트먼트</t>
    </r>
  </si>
  <si>
    <t xml:space="preserve">241520</t>
  </si>
  <si>
    <r>
      <rPr>
        <sz val="11"/>
        <rFont val="Arial"/>
        <family val="0"/>
        <charset val="1"/>
      </rPr>
      <t xml:space="preserve">TS</t>
    </r>
    <r>
      <rPr>
        <sz val="11"/>
        <rFont val="Noto Sans CJK SC"/>
        <family val="2"/>
      </rPr>
      <t xml:space="preserve">인베스트먼트</t>
    </r>
  </si>
  <si>
    <t xml:space="preserve">246690</t>
  </si>
  <si>
    <t xml:space="preserve">포바이포</t>
  </si>
  <si>
    <t xml:space="preserve">389140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</si>
  <si>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AI </t>
    </r>
    <r>
      <rPr>
        <sz val="11"/>
        <rFont val="Noto Sans CJK SC"/>
        <family val="2"/>
      </rPr>
      <t xml:space="preserve">영상 업체로 알려짐</t>
    </r>
  </si>
  <si>
    <t xml:space="preserve">스톤브릿지벤처스</t>
  </si>
  <si>
    <t xml:space="preserve">330730</t>
  </si>
  <si>
    <t xml:space="preserve">에이티넘인베스트</t>
  </si>
  <si>
    <t xml:space="preserve">021080</t>
  </si>
  <si>
    <t xml:space="preserve">035420</t>
  </si>
  <si>
    <t xml:space="preserve">탭 밖 이동</t>
  </si>
  <si>
    <r>
      <rPr>
        <sz val="11"/>
        <rFont val="Noto Sans CJK SC"/>
        <family val="2"/>
      </rPr>
      <t xml:space="preserve">대형 플랫폼 → </t>
    </r>
    <r>
      <rPr>
        <sz val="11"/>
        <rFont val="Arial"/>
        <family val="0"/>
        <charset val="1"/>
      </rPr>
      <t xml:space="preserve">09 SW </t>
    </r>
    <r>
      <rPr>
        <sz val="11"/>
        <rFont val="Noto Sans CJK SC"/>
        <family val="2"/>
      </rPr>
      <t xml:space="preserve">플랫폼 구간</t>
    </r>
  </si>
  <si>
    <t xml:space="preserve">035720</t>
  </si>
  <si>
    <r>
      <rPr>
        <sz val="11"/>
        <rFont val="Noto Sans CJK SC"/>
        <family val="2"/>
      </rPr>
      <t xml:space="preserve">미국 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은행</t>
    </r>
  </si>
  <si>
    <t xml:space="preserve">뱅크오브아메리카</t>
  </si>
  <si>
    <t xml:space="preserve">BAC</t>
  </si>
  <si>
    <t xml:space="preserve">NYBAC</t>
  </si>
  <si>
    <t xml:space="preserve">제이피모간 체이스</t>
  </si>
  <si>
    <t xml:space="preserve">JPM</t>
  </si>
  <si>
    <t xml:space="preserve">NYJPM</t>
  </si>
  <si>
    <t xml:space="preserve">웰스파고</t>
  </si>
  <si>
    <t xml:space="preserve">WFC</t>
  </si>
  <si>
    <t xml:space="preserve">NYWFC</t>
  </si>
  <si>
    <r>
      <rPr>
        <sz val="11"/>
        <rFont val="Noto Sans CJK SC"/>
        <family val="2"/>
      </rPr>
      <t xml:space="preserve">미국 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코인</t>
    </r>
  </si>
  <si>
    <t xml:space="preserve">로빈후드</t>
  </si>
  <si>
    <t xml:space="preserve">HOOD</t>
  </si>
  <si>
    <t xml:space="preserve">NDHOOD</t>
  </si>
  <si>
    <t xml:space="preserve">구간 이동</t>
  </si>
  <si>
    <r>
      <rPr>
        <sz val="11"/>
        <rFont val="Noto Sans CJK SC"/>
        <family val="2"/>
      </rPr>
      <t xml:space="preserve">리테일 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코인 거래도 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키움증권 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</si>
  <si>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월가 포트폴리오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</si>
  <si>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찰스 슈왑</t>
  </si>
  <si>
    <t xml:space="preserve">SCHW</t>
  </si>
  <si>
    <t xml:space="preserve">NYSCHW</t>
  </si>
  <si>
    <t xml:space="preserve">월가 포트폴리오 탭과 의도적 중복</t>
  </si>
  <si>
    <t xml:space="preserve">골드만삭스</t>
  </si>
  <si>
    <t xml:space="preserve">GS</t>
  </si>
  <si>
    <t xml:space="preserve">NYGS</t>
  </si>
  <si>
    <r>
      <rPr>
        <sz val="11"/>
        <rFont val="Noto Sans CJK SC"/>
        <family val="2"/>
      </rPr>
      <t xml:space="preserve">투자은행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미래에셋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삼성증권 짝</t>
    </r>
  </si>
  <si>
    <r>
      <rPr>
        <sz val="11"/>
        <rFont val="Noto Sans CJK SC"/>
        <family val="2"/>
      </rPr>
      <t xml:space="preserve">미국 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보험</t>
    </r>
  </si>
  <si>
    <t xml:space="preserve">CB</t>
  </si>
  <si>
    <t xml:space="preserve">NYCB</t>
  </si>
  <si>
    <t xml:space="preserve">MET</t>
  </si>
  <si>
    <t xml:space="preserve">NYMET</t>
  </si>
  <si>
    <r>
      <rPr>
        <sz val="11"/>
        <rFont val="Noto Sans CJK SC"/>
        <family val="2"/>
      </rPr>
      <t xml:space="preserve">삼성생명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한화생명 짝</t>
    </r>
  </si>
  <si>
    <r>
      <rPr>
        <sz val="11"/>
        <rFont val="Noto Sans CJK SC"/>
        <family val="2"/>
      </rPr>
      <t xml:space="preserve">미국 금융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카드</t>
    </r>
  </si>
  <si>
    <t xml:space="preserve">마스타카드</t>
  </si>
  <si>
    <t xml:space="preserve">MA</t>
  </si>
  <si>
    <t xml:space="preserve">NYMA</t>
  </si>
  <si>
    <t xml:space="preserve">비자</t>
  </si>
  <si>
    <t xml:space="preserve">V</t>
  </si>
  <si>
    <t xml:space="preserve">NYV</t>
  </si>
  <si>
    <t xml:space="preserve">아메리칸 엑스프레스</t>
  </si>
  <si>
    <t xml:space="preserve">AXP</t>
  </si>
  <si>
    <t xml:space="preserve">NYAXP</t>
  </si>
  <si>
    <t xml:space="preserve">페이팔 홀딩스</t>
  </si>
  <si>
    <t xml:space="preserve">PYPL</t>
  </si>
  <si>
    <t xml:space="preserve">NDPYPL</t>
  </si>
  <si>
    <r>
      <rPr>
        <sz val="11"/>
        <rFont val="Noto Sans CJK SC"/>
        <family val="2"/>
      </rPr>
      <t xml:space="preserve">카카오페이</t>
    </r>
    <r>
      <rPr>
        <sz val="11"/>
        <rFont val="Arial"/>
        <family val="0"/>
        <charset val="1"/>
      </rPr>
      <t xml:space="preserve">·NHN KCP </t>
    </r>
    <r>
      <rPr>
        <sz val="11"/>
        <rFont val="Noto Sans CJK SC"/>
        <family val="2"/>
      </rPr>
      <t xml:space="preserve">짝</t>
    </r>
  </si>
  <si>
    <t xml:space="preserve">스트래티지</t>
  </si>
  <si>
    <t xml:space="preserve">MSTR</t>
  </si>
  <si>
    <t xml:space="preserve">NDMSTR</t>
  </si>
  <si>
    <t xml:space="preserve">비트코인 보유</t>
  </si>
  <si>
    <t xml:space="preserve">코인베이스 글로벌</t>
  </si>
  <si>
    <t xml:space="preserve">COIN</t>
  </si>
  <si>
    <t xml:space="preserve">NDCOIN</t>
  </si>
  <si>
    <r>
      <rPr>
        <sz val="11"/>
        <rFont val="Noto Sans CJK SC"/>
        <family val="2"/>
      </rPr>
      <t xml:space="preserve">우리기술투자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한화투자증권 짝</t>
    </r>
  </si>
  <si>
    <t xml:space="preserve">써클 인터넷 그룹</t>
  </si>
  <si>
    <t xml:space="preserve">CRCL</t>
  </si>
  <si>
    <t xml:space="preserve">NYCRCL</t>
  </si>
  <si>
    <r>
      <rPr>
        <sz val="11"/>
        <rFont val="Noto Sans CJK SC"/>
        <family val="2"/>
      </rPr>
      <t xml:space="preserve">스테이블코인 </t>
    </r>
    <r>
      <rPr>
        <sz val="11"/>
        <rFont val="Arial"/>
        <family val="0"/>
        <charset val="1"/>
      </rPr>
      <t xml:space="preserve">USDC </t>
    </r>
    <r>
      <rPr>
        <sz val="11"/>
        <rFont val="Noto Sans CJK SC"/>
        <family val="2"/>
      </rPr>
      <t xml:space="preserve">발행사</t>
    </r>
  </si>
  <si>
    <r>
      <rPr>
        <sz val="11"/>
        <rFont val="Noto Sans CJK SC"/>
        <family val="2"/>
      </rPr>
      <t xml:space="preserve">버크셔 해서웨이 </t>
    </r>
    <r>
      <rPr>
        <sz val="11"/>
        <rFont val="Arial"/>
        <family val="0"/>
        <charset val="1"/>
      </rPr>
      <t xml:space="preserve">B</t>
    </r>
  </si>
  <si>
    <t xml:space="preserve">BRKb</t>
  </si>
  <si>
    <t xml:space="preserve">NYBRKb</t>
  </si>
  <si>
    <r>
      <rPr>
        <sz val="11"/>
        <rFont val="Noto Sans CJK SC"/>
        <family val="2"/>
      </rPr>
      <t xml:space="preserve">투자 지주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보험 구간에서 이동</t>
    </r>
  </si>
  <si>
    <t xml:space="preserve">BN</t>
  </si>
  <si>
    <t xml:space="preserve">NYBN</t>
  </si>
  <si>
    <r>
      <rPr>
        <sz val="11"/>
        <rFont val="Noto Sans CJK SC"/>
        <family val="2"/>
      </rPr>
      <t xml:space="preserve">에너지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투자형 지주사</t>
    </r>
  </si>
  <si>
    <t xml:space="preserve">블랙스톤</t>
  </si>
  <si>
    <t xml:space="preserve">BX</t>
  </si>
  <si>
    <t xml:space="preserve">NYBX</t>
  </si>
  <si>
    <t xml:space="preserve">대체투자 운용사</t>
  </si>
  <si>
    <r>
      <rPr>
        <sz val="11"/>
        <rFont val="Noto Sans CJK SC"/>
        <family val="2"/>
      </rPr>
      <t xml:space="preserve">미쓰비시</t>
    </r>
    <r>
      <rPr>
        <sz val="11"/>
        <rFont val="Arial"/>
        <family val="0"/>
        <charset val="1"/>
      </rPr>
      <t xml:space="preserve">UFJ</t>
    </r>
    <r>
      <rPr>
        <sz val="11"/>
        <rFont val="Noto Sans CJK SC"/>
        <family val="2"/>
      </rPr>
      <t xml:space="preserve">파이낸셜그룹</t>
    </r>
  </si>
  <si>
    <t xml:space="preserve">08306</t>
  </si>
  <si>
    <t xml:space="preserve">W08306</t>
  </si>
  <si>
    <r>
      <rPr>
        <sz val="11"/>
        <rFont val="Arial"/>
        <family val="0"/>
        <charset val="1"/>
      </rPr>
      <t xml:space="preserve">KB</t>
    </r>
    <r>
      <rPr>
        <sz val="11"/>
        <rFont val="Noto Sans CJK SC"/>
        <family val="2"/>
      </rPr>
      <t xml:space="preserve">금융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신한지주 짝</t>
    </r>
  </si>
  <si>
    <t xml:space="preserve">미쓰이스미토모파이낸셜그룹</t>
  </si>
  <si>
    <t xml:space="preserve">08316</t>
  </si>
  <si>
    <t xml:space="preserve">W08316</t>
  </si>
  <si>
    <t xml:space="preserve">미즈호파이낸셜그룹</t>
  </si>
  <si>
    <t xml:space="preserve">08411</t>
  </si>
  <si>
    <t xml:space="preserve">W08411</t>
  </si>
  <si>
    <t xml:space="preserve">노무라홀딩스</t>
  </si>
  <si>
    <t xml:space="preserve">08604</t>
  </si>
  <si>
    <t xml:space="preserve">W08604</t>
  </si>
  <si>
    <t xml:space="preserve">미래에셋증권 짝</t>
  </si>
  <si>
    <r>
      <rPr>
        <sz val="11"/>
        <rFont val="Arial"/>
        <family val="0"/>
        <charset val="1"/>
      </rPr>
      <t xml:space="preserve">SBI</t>
    </r>
    <r>
      <rPr>
        <sz val="11"/>
        <rFont val="Noto Sans CJK SC"/>
        <family val="2"/>
      </rPr>
      <t xml:space="preserve">홀딩스</t>
    </r>
  </si>
  <si>
    <t xml:space="preserve">08473</t>
  </si>
  <si>
    <t xml:space="preserve">W08473</t>
  </si>
  <si>
    <r>
      <rPr>
        <sz val="11"/>
        <rFont val="Noto Sans CJK SC"/>
        <family val="2"/>
      </rPr>
      <t xml:space="preserve">온라인 증권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코인 사업 병행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키움증권 짝</t>
    </r>
    <r>
      <rPr>
        <sz val="11"/>
        <rFont val="Arial"/>
        <family val="0"/>
        <charset val="1"/>
      </rPr>
      <t xml:space="preserve">)</t>
    </r>
  </si>
  <si>
    <t xml:space="preserve">08766</t>
  </si>
  <si>
    <t xml:space="preserve">W08766</t>
  </si>
  <si>
    <r>
      <rPr>
        <sz val="11"/>
        <rFont val="Noto Sans CJK SC"/>
        <family val="2"/>
      </rPr>
      <t xml:space="preserve">삼성화재</t>
    </r>
    <r>
      <rPr>
        <sz val="11"/>
        <rFont val="Arial"/>
        <family val="0"/>
        <charset val="1"/>
      </rPr>
      <t xml:space="preserve">·DB</t>
    </r>
    <r>
      <rPr>
        <sz val="11"/>
        <rFont val="Noto Sans CJK SC"/>
        <family val="2"/>
      </rPr>
      <t xml:space="preserve">손해보험 짝</t>
    </r>
  </si>
  <si>
    <t xml:space="preserve">08750</t>
  </si>
  <si>
    <t xml:space="preserve">W08750</t>
  </si>
  <si>
    <t xml:space="preserve">삼성생명 짝</t>
  </si>
  <si>
    <t xml:space="preserve">03769</t>
  </si>
  <si>
    <t xml:space="preserve">W03769</t>
  </si>
  <si>
    <r>
      <rPr>
        <sz val="11"/>
        <rFont val="Arial"/>
        <family val="0"/>
        <charset val="1"/>
      </rPr>
      <t xml:space="preserve">PG, NHN KCP </t>
    </r>
    <r>
      <rPr>
        <sz val="11"/>
        <rFont val="Noto Sans CJK SC"/>
        <family val="2"/>
      </rPr>
      <t xml:space="preserve">짝</t>
    </r>
  </si>
  <si>
    <t xml:space="preserve">08698</t>
  </si>
  <si>
    <t xml:space="preserve">W08698</t>
  </si>
  <si>
    <t xml:space="preserve">코인체크 모회사</t>
  </si>
  <si>
    <t xml:space="preserve">08591</t>
  </si>
  <si>
    <t xml:space="preserve">W08591</t>
  </si>
  <si>
    <r>
      <rPr>
        <sz val="11"/>
        <rFont val="Arial"/>
        <family val="0"/>
        <charset val="1"/>
      </rPr>
      <t xml:space="preserve">BN</t>
    </r>
    <r>
      <rPr>
        <sz val="11"/>
        <rFont val="Noto Sans CJK SC"/>
        <family val="2"/>
      </rPr>
      <t xml:space="preserve">과 비슷한 투자형 금융지주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</si>
</sst>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8.5" hidden="false" customHeight="false" outlineLevel="0" collapsed="false">
      <c r="A5" s="4" t="n">
        <v>1</v>
      </c>
      <c r="B5" s="5" t="s">
        <v>10</v>
      </c>
      <c r="C5" s="4" t="n">
        <f aca="false">COUNTIFS('종목 목록'!$A$2:$A$92,"국장",'종목 목록'!$C$2:$C$92,$B5,'종목 목록'!$H$2:$H$92,"&lt;&gt;탭 밖 이동")</f>
        <v>11</v>
      </c>
      <c r="D5" s="4" t="n">
        <f aca="false">COUNTIFS('종목 목록'!$A$2:$A$92,"미장",'종목 목록'!$C$2:$C$92,$B5,'종목 목록'!$H$2:$H$92,"&lt;&gt;탭 밖 이동")</f>
        <v>3</v>
      </c>
      <c r="E5" s="4" t="n">
        <f aca="false">COUNTIFS('종목 목록'!$A$2:$A$92,"일장",'종목 목록'!$C$2:$C$92,$B5,'종목 목록'!$H$2:$H$92,"&lt;&gt;탭 밖 이동")</f>
        <v>3</v>
      </c>
      <c r="F5" s="6" t="s">
        <v>11</v>
      </c>
      <c r="G5" s="7" t="s">
        <v>12</v>
      </c>
      <c r="H5" s="7" t="s">
        <v>13</v>
      </c>
    </row>
    <row r="6" customFormat="false" ht="48.5" hidden="false" customHeight="false" outlineLevel="0" collapsed="false">
      <c r="A6" s="4" t="n">
        <v>2</v>
      </c>
      <c r="B6" s="5" t="s">
        <v>14</v>
      </c>
      <c r="C6" s="4" t="n">
        <f aca="false">COUNTIFS('종목 목록'!$A$2:$A$92,"국장",'종목 목록'!$C$2:$C$92,$B6,'종목 목록'!$H$2:$H$92,"&lt;&gt;탭 밖 이동")</f>
        <v>14</v>
      </c>
      <c r="D6" s="4" t="n">
        <f aca="false">COUNTIFS('종목 목록'!$A$2:$A$92,"미장",'종목 목록'!$C$2:$C$92,$B6,'종목 목록'!$H$2:$H$92,"&lt;&gt;탭 밖 이동")</f>
        <v>3</v>
      </c>
      <c r="E6" s="4" t="n">
        <f aca="false">COUNTIFS('종목 목록'!$A$2:$A$92,"일장",'종목 목록'!$C$2:$C$92,$B6,'종목 목록'!$H$2:$H$92,"&lt;&gt;탭 밖 이동")</f>
        <v>2</v>
      </c>
      <c r="F6" s="7" t="s">
        <v>15</v>
      </c>
      <c r="G6" s="7" t="s">
        <v>16</v>
      </c>
      <c r="H6" s="7" t="s">
        <v>17</v>
      </c>
    </row>
    <row r="7" customFormat="false" ht="32.8" hidden="false" customHeight="false" outlineLevel="0" collapsed="false">
      <c r="A7" s="4" t="n">
        <v>3</v>
      </c>
      <c r="B7" s="5" t="s">
        <v>18</v>
      </c>
      <c r="C7" s="4" t="n">
        <f aca="false">COUNTIFS('종목 목록'!$A$2:$A$92,"국장",'종목 목록'!$C$2:$C$92,$B7,'종목 목록'!$H$2:$H$92,"&lt;&gt;탭 밖 이동")</f>
        <v>8</v>
      </c>
      <c r="D7" s="4" t="n">
        <f aca="false">COUNTIFS('종목 목록'!$A$2:$A$92,"미장",'종목 목록'!$C$2:$C$92,$B7,'종목 목록'!$H$2:$H$92,"&lt;&gt;탭 밖 이동")</f>
        <v>1</v>
      </c>
      <c r="E7" s="4" t="n">
        <f aca="false">COUNTIFS('종목 목록'!$A$2:$A$92,"일장",'종목 목록'!$C$2:$C$92,$B7,'종목 목록'!$H$2:$H$92,"&lt;&gt;탭 밖 이동")</f>
        <v>1</v>
      </c>
      <c r="F7" s="7" t="s">
        <v>19</v>
      </c>
      <c r="G7" s="7" t="s">
        <v>20</v>
      </c>
      <c r="H7" s="7" t="s">
        <v>21</v>
      </c>
    </row>
    <row r="8" customFormat="false" ht="17.15" hidden="false" customHeight="false" outlineLevel="0" collapsed="false">
      <c r="A8" s="4" t="n">
        <v>4</v>
      </c>
      <c r="B8" s="5" t="s">
        <v>22</v>
      </c>
      <c r="C8" s="4" t="n">
        <f aca="false">COUNTIFS('종목 목록'!$A$2:$A$92,"국장",'종목 목록'!$C$2:$C$92,$B8,'종목 목록'!$H$2:$H$92,"&lt;&gt;탭 밖 이동")</f>
        <v>3</v>
      </c>
      <c r="D8" s="4" t="n">
        <f aca="false">COUNTIFS('종목 목록'!$A$2:$A$92,"미장",'종목 목록'!$C$2:$C$92,$B8,'종목 목록'!$H$2:$H$92,"&lt;&gt;탭 밖 이동")</f>
        <v>1</v>
      </c>
      <c r="E8" s="4" t="n">
        <f aca="false">COUNTIFS('종목 목록'!$A$2:$A$92,"일장",'종목 목록'!$C$2:$C$92,$B8,'종목 목록'!$H$2:$H$92,"&lt;&gt;탭 밖 이동")</f>
        <v>1</v>
      </c>
      <c r="F8" s="7" t="s">
        <v>23</v>
      </c>
      <c r="G8" s="7" t="s">
        <v>24</v>
      </c>
      <c r="H8" s="7" t="s">
        <v>25</v>
      </c>
    </row>
    <row r="9" customFormat="false" ht="32.8" hidden="false" customHeight="false" outlineLevel="0" collapsed="false">
      <c r="A9" s="4" t="n">
        <v>5</v>
      </c>
      <c r="B9" s="5" t="s">
        <v>26</v>
      </c>
      <c r="C9" s="4" t="n">
        <f aca="false">COUNTIFS('종목 목록'!$A$2:$A$92,"국장",'종목 목록'!$C$2:$C$92,$B9,'종목 목록'!$H$2:$H$92,"&lt;&gt;탭 밖 이동")</f>
        <v>11</v>
      </c>
      <c r="D9" s="4" t="n">
        <f aca="false">COUNTIFS('종목 목록'!$A$2:$A$92,"미장",'종목 목록'!$C$2:$C$92,$B9,'종목 목록'!$H$2:$H$92,"&lt;&gt;탭 밖 이동")</f>
        <v>4</v>
      </c>
      <c r="E9" s="4" t="n">
        <f aca="false">COUNTIFS('종목 목록'!$A$2:$A$92,"일장",'종목 목록'!$C$2:$C$92,$B9,'종목 목록'!$H$2:$H$92,"&lt;&gt;탭 밖 이동")</f>
        <v>1</v>
      </c>
      <c r="F9" s="6" t="s">
        <v>27</v>
      </c>
      <c r="G9" s="7" t="s">
        <v>28</v>
      </c>
      <c r="H9" s="6" t="s">
        <v>29</v>
      </c>
    </row>
    <row r="10" customFormat="false" ht="32.8" hidden="false" customHeight="false" outlineLevel="0" collapsed="false">
      <c r="A10" s="4" t="n">
        <v>6</v>
      </c>
      <c r="B10" s="5" t="s">
        <v>30</v>
      </c>
      <c r="C10" s="4" t="n">
        <f aca="false">COUNTIFS('종목 목록'!$A$2:$A$92,"국장",'종목 목록'!$C$2:$C$92,$B10,'종목 목록'!$H$2:$H$92,"&lt;&gt;탭 밖 이동")</f>
        <v>7</v>
      </c>
      <c r="D10" s="4" t="n">
        <f aca="false">COUNTIFS('종목 목록'!$A$2:$A$92,"미장",'종목 목록'!$C$2:$C$92,$B10,'종목 목록'!$H$2:$H$92,"&lt;&gt;탭 밖 이동")</f>
        <v>3</v>
      </c>
      <c r="E10" s="4" t="n">
        <f aca="false">COUNTIFS('종목 목록'!$A$2:$A$92,"일장",'종목 목록'!$C$2:$C$92,$B10,'종목 목록'!$H$2:$H$92,"&lt;&gt;탭 밖 이동")</f>
        <v>1</v>
      </c>
      <c r="F10" s="7" t="s">
        <v>31</v>
      </c>
      <c r="G10" s="7" t="s">
        <v>32</v>
      </c>
      <c r="H10" s="7" t="s">
        <v>33</v>
      </c>
    </row>
    <row r="11" customFormat="false" ht="32.8" hidden="false" customHeight="false" outlineLevel="0" collapsed="false">
      <c r="A11" s="4" t="n">
        <v>7</v>
      </c>
      <c r="B11" s="5" t="s">
        <v>34</v>
      </c>
      <c r="C11" s="4" t="n">
        <f aca="false">COUNTIFS('종목 목록'!$A$2:$A$92,"국장",'종목 목록'!$C$2:$C$92,$B11,'종목 목록'!$H$2:$H$92,"&lt;&gt;탭 밖 이동")</f>
        <v>7</v>
      </c>
      <c r="D11" s="4" t="n">
        <f aca="false">COUNTIFS('종목 목록'!$A$2:$A$92,"미장",'종목 목록'!$C$2:$C$92,$B11,'종목 목록'!$H$2:$H$92,"&lt;&gt;탭 밖 이동")</f>
        <v>3</v>
      </c>
      <c r="E11" s="4" t="n">
        <f aca="false">COUNTIFS('종목 목록'!$A$2:$A$92,"일장",'종목 목록'!$C$2:$C$92,$B11,'종목 목록'!$H$2:$H$92,"&lt;&gt;탭 밖 이동")</f>
        <v>1</v>
      </c>
      <c r="F11" s="7" t="s">
        <v>35</v>
      </c>
      <c r="G11" s="7" t="s">
        <v>36</v>
      </c>
      <c r="H11" s="7" t="s">
        <v>37</v>
      </c>
    </row>
    <row r="12" customFormat="false" ht="15" hidden="false" customHeight="false" outlineLevel="0" collapsed="false">
      <c r="B12" s="8" t="s">
        <v>38</v>
      </c>
      <c r="C12" s="9" t="n">
        <f aca="false">SUM(C5:C11)</f>
        <v>61</v>
      </c>
      <c r="D12" s="9" t="n">
        <f aca="false">SUM(D5:D11)</f>
        <v>18</v>
      </c>
      <c r="E12" s="9" t="n">
        <f aca="false">SUM(E5:E11)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 t="s">
        <v>39</v>
      </c>
    </row>
    <row r="3" customFormat="false" ht="15" hidden="false" customHeight="false" outlineLevel="0" collapsed="false">
      <c r="A3" s="11" t="s">
        <v>40</v>
      </c>
      <c r="B3" s="11" t="s">
        <v>41</v>
      </c>
      <c r="C3" s="11" t="s">
        <v>42</v>
      </c>
      <c r="D3" s="11" t="s">
        <v>43</v>
      </c>
    </row>
    <row r="4" customFormat="false" ht="17.15" hidden="false" customHeight="false" outlineLevel="0" collapsed="false">
      <c r="A4" s="12" t="s">
        <v>4</v>
      </c>
      <c r="B4" s="13" t="s">
        <v>44</v>
      </c>
      <c r="C4" s="13" t="s">
        <v>45</v>
      </c>
      <c r="D4" s="13" t="s">
        <v>46</v>
      </c>
    </row>
    <row r="5" customFormat="false" ht="17.15" hidden="false" customHeight="false" outlineLevel="0" collapsed="false">
      <c r="A5" s="12" t="s">
        <v>4</v>
      </c>
      <c r="B5" s="13" t="s">
        <v>44</v>
      </c>
      <c r="C5" s="12" t="s">
        <v>47</v>
      </c>
      <c r="D5" s="13" t="s">
        <v>46</v>
      </c>
    </row>
    <row r="6" customFormat="false" ht="17.15" hidden="false" customHeight="false" outlineLevel="0" collapsed="false">
      <c r="A6" s="12" t="s">
        <v>4</v>
      </c>
      <c r="B6" s="13" t="s">
        <v>44</v>
      </c>
      <c r="C6" s="12" t="s">
        <v>48</v>
      </c>
      <c r="D6" s="13" t="s">
        <v>46</v>
      </c>
    </row>
    <row r="7" customFormat="false" ht="17.15" hidden="false" customHeight="false" outlineLevel="0" collapsed="false">
      <c r="A7" s="12" t="s">
        <v>4</v>
      </c>
      <c r="B7" s="13" t="s">
        <v>44</v>
      </c>
      <c r="C7" s="12" t="s">
        <v>49</v>
      </c>
      <c r="D7" s="13" t="s">
        <v>46</v>
      </c>
    </row>
    <row r="8" customFormat="false" ht="17.15" hidden="false" customHeight="false" outlineLevel="0" collapsed="false">
      <c r="A8" s="12" t="s">
        <v>4</v>
      </c>
      <c r="B8" s="13" t="s">
        <v>44</v>
      </c>
      <c r="C8" s="12" t="s">
        <v>50</v>
      </c>
      <c r="D8" s="13" t="s">
        <v>46</v>
      </c>
    </row>
    <row r="9" customFormat="false" ht="17.15" hidden="false" customHeight="false" outlineLevel="0" collapsed="false">
      <c r="A9" s="12" t="s">
        <v>4</v>
      </c>
      <c r="B9" s="13" t="s">
        <v>44</v>
      </c>
      <c r="C9" s="12" t="s">
        <v>51</v>
      </c>
      <c r="D9" s="13" t="s">
        <v>46</v>
      </c>
    </row>
    <row r="10" customFormat="false" ht="17.15" hidden="false" customHeight="false" outlineLevel="0" collapsed="false">
      <c r="A10" s="12" t="s">
        <v>4</v>
      </c>
      <c r="B10" s="13" t="s">
        <v>44</v>
      </c>
      <c r="C10" s="12" t="s">
        <v>52</v>
      </c>
      <c r="D10" s="13" t="s">
        <v>46</v>
      </c>
    </row>
    <row r="11" customFormat="false" ht="17.15" hidden="false" customHeight="false" outlineLevel="0" collapsed="false">
      <c r="A11" s="12" t="s">
        <v>4</v>
      </c>
      <c r="B11" s="13" t="s">
        <v>44</v>
      </c>
      <c r="C11" s="12" t="s">
        <v>53</v>
      </c>
      <c r="D11" s="13" t="s">
        <v>46</v>
      </c>
    </row>
    <row r="12" customFormat="false" ht="17.15" hidden="false" customHeight="false" outlineLevel="0" collapsed="false">
      <c r="A12" s="12" t="s">
        <v>4</v>
      </c>
      <c r="B12" s="13" t="s">
        <v>44</v>
      </c>
      <c r="C12" s="12" t="s">
        <v>54</v>
      </c>
      <c r="D12" s="13" t="s">
        <v>46</v>
      </c>
    </row>
    <row r="13" customFormat="false" ht="17.15" hidden="false" customHeight="false" outlineLevel="0" collapsed="false">
      <c r="A13" s="12" t="s">
        <v>4</v>
      </c>
      <c r="B13" s="13" t="s">
        <v>44</v>
      </c>
      <c r="C13" s="12" t="s">
        <v>55</v>
      </c>
      <c r="D13" s="13" t="s">
        <v>46</v>
      </c>
    </row>
    <row r="14" customFormat="false" ht="17.15" hidden="false" customHeight="false" outlineLevel="0" collapsed="false">
      <c r="A14" s="12" t="s">
        <v>4</v>
      </c>
      <c r="B14" s="13" t="s">
        <v>44</v>
      </c>
      <c r="C14" s="12" t="s">
        <v>56</v>
      </c>
      <c r="D14" s="13" t="s">
        <v>57</v>
      </c>
    </row>
    <row r="15" customFormat="false" ht="17.15" hidden="false" customHeight="false" outlineLevel="0" collapsed="false">
      <c r="A15" s="12" t="s">
        <v>4</v>
      </c>
      <c r="B15" s="13" t="s">
        <v>44</v>
      </c>
      <c r="C15" s="12" t="s">
        <v>58</v>
      </c>
      <c r="D15" s="13" t="s">
        <v>57</v>
      </c>
    </row>
    <row r="16" customFormat="false" ht="17.15" hidden="false" customHeight="false" outlineLevel="0" collapsed="false">
      <c r="A16" s="12" t="s">
        <v>4</v>
      </c>
      <c r="B16" s="13" t="s">
        <v>44</v>
      </c>
      <c r="C16" s="12" t="s">
        <v>59</v>
      </c>
      <c r="D16" s="13" t="s">
        <v>57</v>
      </c>
    </row>
    <row r="17" customFormat="false" ht="17.15" hidden="false" customHeight="false" outlineLevel="0" collapsed="false">
      <c r="A17" s="12" t="s">
        <v>4</v>
      </c>
      <c r="B17" s="13" t="s">
        <v>44</v>
      </c>
      <c r="C17" s="13" t="s">
        <v>60</v>
      </c>
      <c r="D17" s="13" t="s">
        <v>57</v>
      </c>
    </row>
    <row r="18" customFormat="false" ht="17.15" hidden="false" customHeight="false" outlineLevel="0" collapsed="false">
      <c r="A18" s="12" t="s">
        <v>4</v>
      </c>
      <c r="B18" s="13" t="s">
        <v>44</v>
      </c>
      <c r="C18" s="12" t="s">
        <v>61</v>
      </c>
      <c r="D18" s="13" t="s">
        <v>57</v>
      </c>
    </row>
    <row r="19" customFormat="false" ht="17.15" hidden="false" customHeight="false" outlineLevel="0" collapsed="false">
      <c r="A19" s="12" t="s">
        <v>4</v>
      </c>
      <c r="B19" s="13" t="s">
        <v>44</v>
      </c>
      <c r="C19" s="12" t="s">
        <v>62</v>
      </c>
      <c r="D19" s="13" t="s">
        <v>57</v>
      </c>
    </row>
    <row r="20" customFormat="false" ht="17.15" hidden="false" customHeight="false" outlineLevel="0" collapsed="false">
      <c r="A20" s="12" t="s">
        <v>4</v>
      </c>
      <c r="B20" s="13" t="s">
        <v>44</v>
      </c>
      <c r="C20" s="12" t="s">
        <v>63</v>
      </c>
      <c r="D20" s="13" t="s">
        <v>57</v>
      </c>
    </row>
    <row r="21" customFormat="false" ht="17.15" hidden="false" customHeight="false" outlineLevel="0" collapsed="false">
      <c r="A21" s="12" t="s">
        <v>4</v>
      </c>
      <c r="B21" s="13" t="s">
        <v>44</v>
      </c>
      <c r="C21" s="13" t="s">
        <v>64</v>
      </c>
      <c r="D21" s="13" t="s">
        <v>65</v>
      </c>
    </row>
    <row r="22" customFormat="false" ht="17.15" hidden="false" customHeight="false" outlineLevel="0" collapsed="false">
      <c r="A22" s="12" t="s">
        <v>4</v>
      </c>
      <c r="B22" s="13" t="s">
        <v>44</v>
      </c>
      <c r="C22" s="12" t="s">
        <v>66</v>
      </c>
      <c r="D22" s="13" t="s">
        <v>65</v>
      </c>
    </row>
    <row r="23" customFormat="false" ht="17.15" hidden="false" customHeight="false" outlineLevel="0" collapsed="false">
      <c r="A23" s="12" t="s">
        <v>5</v>
      </c>
      <c r="B23" s="12" t="s">
        <v>67</v>
      </c>
      <c r="C23" s="12" t="s">
        <v>68</v>
      </c>
      <c r="D23" s="1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1" t="s">
        <v>40</v>
      </c>
      <c r="B1" s="11" t="s">
        <v>70</v>
      </c>
      <c r="C1" s="11" t="s">
        <v>3</v>
      </c>
      <c r="D1" s="11" t="s">
        <v>71</v>
      </c>
      <c r="E1" s="11" t="s">
        <v>42</v>
      </c>
      <c r="F1" s="11" t="s">
        <v>72</v>
      </c>
      <c r="G1" s="11" t="s">
        <v>73</v>
      </c>
      <c r="H1" s="11" t="s">
        <v>74</v>
      </c>
      <c r="I1" s="11" t="s">
        <v>75</v>
      </c>
    </row>
    <row r="2" customFormat="false" ht="17.15" hidden="false" customHeight="false" outlineLevel="0" collapsed="false">
      <c r="A2" s="14" t="s">
        <v>4</v>
      </c>
      <c r="B2" s="15" t="n">
        <v>1</v>
      </c>
      <c r="C2" s="14" t="s">
        <v>10</v>
      </c>
      <c r="D2" s="14" t="s">
        <v>76</v>
      </c>
      <c r="E2" s="16" t="s">
        <v>77</v>
      </c>
      <c r="F2" s="17" t="s">
        <v>78</v>
      </c>
      <c r="G2" s="17" t="s">
        <v>78</v>
      </c>
      <c r="H2" s="14" t="s">
        <v>79</v>
      </c>
      <c r="I2" s="16"/>
    </row>
    <row r="3" customFormat="false" ht="17.15" hidden="false" customHeight="false" outlineLevel="0" collapsed="false">
      <c r="A3" s="14" t="s">
        <v>4</v>
      </c>
      <c r="B3" s="15" t="n">
        <v>1</v>
      </c>
      <c r="C3" s="14" t="s">
        <v>10</v>
      </c>
      <c r="D3" s="14" t="s">
        <v>76</v>
      </c>
      <c r="E3" s="14" t="s">
        <v>80</v>
      </c>
      <c r="F3" s="17" t="s">
        <v>81</v>
      </c>
      <c r="G3" s="17" t="s">
        <v>81</v>
      </c>
      <c r="H3" s="14" t="s">
        <v>79</v>
      </c>
      <c r="I3" s="16"/>
    </row>
    <row r="4" customFormat="false" ht="17.15" hidden="false" customHeight="false" outlineLevel="0" collapsed="false">
      <c r="A4" s="14" t="s">
        <v>4</v>
      </c>
      <c r="B4" s="15" t="n">
        <v>1</v>
      </c>
      <c r="C4" s="14" t="s">
        <v>10</v>
      </c>
      <c r="D4" s="14" t="s">
        <v>76</v>
      </c>
      <c r="E4" s="14" t="s">
        <v>82</v>
      </c>
      <c r="F4" s="17" t="s">
        <v>83</v>
      </c>
      <c r="G4" s="17" t="s">
        <v>83</v>
      </c>
      <c r="H4" s="14" t="s">
        <v>79</v>
      </c>
      <c r="I4" s="14" t="s">
        <v>84</v>
      </c>
    </row>
    <row r="5" customFormat="false" ht="17.15" hidden="false" customHeight="false" outlineLevel="0" collapsed="false">
      <c r="A5" s="14" t="s">
        <v>4</v>
      </c>
      <c r="B5" s="15" t="n">
        <v>1</v>
      </c>
      <c r="C5" s="14" t="s">
        <v>10</v>
      </c>
      <c r="D5" s="14" t="s">
        <v>76</v>
      </c>
      <c r="E5" s="14" t="s">
        <v>85</v>
      </c>
      <c r="F5" s="17" t="s">
        <v>86</v>
      </c>
      <c r="G5" s="17" t="s">
        <v>86</v>
      </c>
      <c r="H5" s="14" t="s">
        <v>79</v>
      </c>
      <c r="I5" s="16"/>
    </row>
    <row r="6" customFormat="false" ht="17.15" hidden="false" customHeight="false" outlineLevel="0" collapsed="false">
      <c r="A6" s="14" t="s">
        <v>4</v>
      </c>
      <c r="B6" s="15" t="n">
        <v>1</v>
      </c>
      <c r="C6" s="14" t="s">
        <v>10</v>
      </c>
      <c r="D6" s="14" t="s">
        <v>76</v>
      </c>
      <c r="E6" s="14" t="s">
        <v>87</v>
      </c>
      <c r="F6" s="17" t="s">
        <v>88</v>
      </c>
      <c r="G6" s="17" t="s">
        <v>88</v>
      </c>
      <c r="H6" s="14" t="s">
        <v>79</v>
      </c>
      <c r="I6" s="16"/>
    </row>
    <row r="7" customFormat="false" ht="17.15" hidden="false" customHeight="false" outlineLevel="0" collapsed="false">
      <c r="A7" s="14" t="s">
        <v>4</v>
      </c>
      <c r="B7" s="15" t="n">
        <v>1</v>
      </c>
      <c r="C7" s="14" t="s">
        <v>10</v>
      </c>
      <c r="D7" s="14" t="s">
        <v>76</v>
      </c>
      <c r="E7" s="14" t="s">
        <v>89</v>
      </c>
      <c r="F7" s="17" t="s">
        <v>90</v>
      </c>
      <c r="G7" s="17" t="s">
        <v>90</v>
      </c>
      <c r="H7" s="14" t="s">
        <v>79</v>
      </c>
      <c r="I7" s="14" t="s">
        <v>91</v>
      </c>
    </row>
    <row r="8" customFormat="false" ht="17.15" hidden="false" customHeight="false" outlineLevel="0" collapsed="false">
      <c r="A8" s="14" t="s">
        <v>4</v>
      </c>
      <c r="B8" s="15" t="n">
        <v>1</v>
      </c>
      <c r="C8" s="14" t="s">
        <v>10</v>
      </c>
      <c r="D8" s="14" t="s">
        <v>76</v>
      </c>
      <c r="E8" s="14" t="s">
        <v>92</v>
      </c>
      <c r="F8" s="17" t="s">
        <v>93</v>
      </c>
      <c r="G8" s="17" t="s">
        <v>93</v>
      </c>
      <c r="H8" s="14" t="s">
        <v>79</v>
      </c>
      <c r="I8" s="16"/>
    </row>
    <row r="9" customFormat="false" ht="17.15" hidden="false" customHeight="false" outlineLevel="0" collapsed="false">
      <c r="A9" s="14" t="s">
        <v>4</v>
      </c>
      <c r="B9" s="15" t="n">
        <v>1</v>
      </c>
      <c r="C9" s="14" t="s">
        <v>10</v>
      </c>
      <c r="D9" s="14" t="s">
        <v>76</v>
      </c>
      <c r="E9" s="16" t="s">
        <v>94</v>
      </c>
      <c r="F9" s="17" t="s">
        <v>95</v>
      </c>
      <c r="G9" s="17" t="s">
        <v>95</v>
      </c>
      <c r="H9" s="14" t="s">
        <v>79</v>
      </c>
      <c r="I9" s="16"/>
    </row>
    <row r="10" customFormat="false" ht="17.15" hidden="false" customHeight="false" outlineLevel="0" collapsed="false">
      <c r="A10" s="14" t="s">
        <v>4</v>
      </c>
      <c r="B10" s="15" t="n">
        <v>1</v>
      </c>
      <c r="C10" s="14" t="s">
        <v>10</v>
      </c>
      <c r="D10" s="14" t="s">
        <v>76</v>
      </c>
      <c r="E10" s="14" t="s">
        <v>96</v>
      </c>
      <c r="F10" s="17" t="s">
        <v>97</v>
      </c>
      <c r="G10" s="17" t="s">
        <v>97</v>
      </c>
      <c r="H10" s="14" t="s">
        <v>79</v>
      </c>
      <c r="I10" s="16"/>
    </row>
    <row r="11" customFormat="false" ht="17.15" hidden="false" customHeight="false" outlineLevel="0" collapsed="false">
      <c r="A11" s="14" t="s">
        <v>4</v>
      </c>
      <c r="B11" s="15" t="n">
        <v>1</v>
      </c>
      <c r="C11" s="14" t="s">
        <v>10</v>
      </c>
      <c r="D11" s="14" t="s">
        <v>76</v>
      </c>
      <c r="E11" s="16" t="s">
        <v>98</v>
      </c>
      <c r="F11" s="17" t="s">
        <v>99</v>
      </c>
      <c r="G11" s="17" t="s">
        <v>99</v>
      </c>
      <c r="H11" s="14" t="s">
        <v>79</v>
      </c>
      <c r="I11" s="16"/>
    </row>
    <row r="12" customFormat="false" ht="17.15" hidden="false" customHeight="false" outlineLevel="0" collapsed="false">
      <c r="A12" s="14" t="s">
        <v>4</v>
      </c>
      <c r="B12" s="15" t="n">
        <v>1</v>
      </c>
      <c r="C12" s="14" t="s">
        <v>10</v>
      </c>
      <c r="D12" s="14" t="s">
        <v>76</v>
      </c>
      <c r="E12" s="16" t="s">
        <v>100</v>
      </c>
      <c r="F12" s="17" t="s">
        <v>101</v>
      </c>
      <c r="G12" s="17" t="s">
        <v>101</v>
      </c>
      <c r="H12" s="14" t="s">
        <v>79</v>
      </c>
      <c r="I12" s="16"/>
    </row>
    <row r="13" customFormat="false" ht="17.15" hidden="false" customHeight="false" outlineLevel="0" collapsed="false">
      <c r="A13" s="14" t="s">
        <v>4</v>
      </c>
      <c r="B13" s="15" t="n">
        <v>2</v>
      </c>
      <c r="C13" s="14" t="s">
        <v>14</v>
      </c>
      <c r="D13" s="14" t="s">
        <v>102</v>
      </c>
      <c r="E13" s="14" t="s">
        <v>103</v>
      </c>
      <c r="F13" s="17" t="s">
        <v>104</v>
      </c>
      <c r="G13" s="17" t="s">
        <v>104</v>
      </c>
      <c r="H13" s="14" t="s">
        <v>79</v>
      </c>
      <c r="I13" s="16"/>
    </row>
    <row r="14" customFormat="false" ht="17.15" hidden="false" customHeight="false" outlineLevel="0" collapsed="false">
      <c r="A14" s="14" t="s">
        <v>4</v>
      </c>
      <c r="B14" s="15" t="n">
        <v>2</v>
      </c>
      <c r="C14" s="14" t="s">
        <v>14</v>
      </c>
      <c r="D14" s="14" t="s">
        <v>102</v>
      </c>
      <c r="E14" s="14" t="s">
        <v>105</v>
      </c>
      <c r="F14" s="17" t="s">
        <v>106</v>
      </c>
      <c r="G14" s="17" t="s">
        <v>106</v>
      </c>
      <c r="H14" s="14" t="s">
        <v>79</v>
      </c>
      <c r="I14" s="16"/>
    </row>
    <row r="15" customFormat="false" ht="17.15" hidden="false" customHeight="false" outlineLevel="0" collapsed="false">
      <c r="A15" s="14" t="s">
        <v>4</v>
      </c>
      <c r="B15" s="15" t="n">
        <v>2</v>
      </c>
      <c r="C15" s="14" t="s">
        <v>14</v>
      </c>
      <c r="D15" s="14" t="s">
        <v>102</v>
      </c>
      <c r="E15" s="14" t="s">
        <v>107</v>
      </c>
      <c r="F15" s="17" t="s">
        <v>108</v>
      </c>
      <c r="G15" s="17" t="s">
        <v>108</v>
      </c>
      <c r="H15" s="14" t="s">
        <v>79</v>
      </c>
      <c r="I15" s="16"/>
    </row>
    <row r="16" customFormat="false" ht="17.15" hidden="false" customHeight="false" outlineLevel="0" collapsed="false">
      <c r="A16" s="14" t="s">
        <v>4</v>
      </c>
      <c r="B16" s="15" t="n">
        <v>2</v>
      </c>
      <c r="C16" s="14" t="s">
        <v>14</v>
      </c>
      <c r="D16" s="14" t="s">
        <v>102</v>
      </c>
      <c r="E16" s="16" t="s">
        <v>109</v>
      </c>
      <c r="F16" s="17" t="s">
        <v>110</v>
      </c>
      <c r="G16" s="17" t="s">
        <v>110</v>
      </c>
      <c r="H16" s="14" t="s">
        <v>79</v>
      </c>
      <c r="I16" s="16"/>
    </row>
    <row r="17" customFormat="false" ht="17.15" hidden="false" customHeight="false" outlineLevel="0" collapsed="false">
      <c r="A17" s="14" t="s">
        <v>4</v>
      </c>
      <c r="B17" s="15" t="n">
        <v>2</v>
      </c>
      <c r="C17" s="14" t="s">
        <v>14</v>
      </c>
      <c r="D17" s="14" t="s">
        <v>102</v>
      </c>
      <c r="E17" s="14" t="s">
        <v>111</v>
      </c>
      <c r="F17" s="17" t="s">
        <v>112</v>
      </c>
      <c r="G17" s="17" t="s">
        <v>112</v>
      </c>
      <c r="H17" s="14" t="s">
        <v>79</v>
      </c>
      <c r="I17" s="16"/>
    </row>
    <row r="18" customFormat="false" ht="17.15" hidden="false" customHeight="false" outlineLevel="0" collapsed="false">
      <c r="A18" s="14" t="s">
        <v>4</v>
      </c>
      <c r="B18" s="15" t="n">
        <v>2</v>
      </c>
      <c r="C18" s="14" t="s">
        <v>14</v>
      </c>
      <c r="D18" s="14" t="s">
        <v>102</v>
      </c>
      <c r="E18" s="14" t="s">
        <v>113</v>
      </c>
      <c r="F18" s="17" t="s">
        <v>114</v>
      </c>
      <c r="G18" s="17" t="s">
        <v>114</v>
      </c>
      <c r="H18" s="14" t="s">
        <v>79</v>
      </c>
      <c r="I18" s="16"/>
    </row>
    <row r="19" customFormat="false" ht="17.15" hidden="false" customHeight="false" outlineLevel="0" collapsed="false">
      <c r="A19" s="14" t="s">
        <v>4</v>
      </c>
      <c r="B19" s="15" t="n">
        <v>2</v>
      </c>
      <c r="C19" s="14" t="s">
        <v>14</v>
      </c>
      <c r="D19" s="14" t="s">
        <v>102</v>
      </c>
      <c r="E19" s="14" t="s">
        <v>115</v>
      </c>
      <c r="F19" s="17" t="s">
        <v>116</v>
      </c>
      <c r="G19" s="17" t="s">
        <v>116</v>
      </c>
      <c r="H19" s="14" t="s">
        <v>79</v>
      </c>
      <c r="I19" s="16"/>
    </row>
    <row r="20" customFormat="false" ht="17.15" hidden="false" customHeight="false" outlineLevel="0" collapsed="false">
      <c r="A20" s="14" t="s">
        <v>4</v>
      </c>
      <c r="B20" s="15" t="n">
        <v>2</v>
      </c>
      <c r="C20" s="14" t="s">
        <v>14</v>
      </c>
      <c r="D20" s="14" t="s">
        <v>102</v>
      </c>
      <c r="E20" s="14" t="s">
        <v>117</v>
      </c>
      <c r="F20" s="17" t="s">
        <v>118</v>
      </c>
      <c r="G20" s="17" t="s">
        <v>118</v>
      </c>
      <c r="H20" s="14" t="s">
        <v>79</v>
      </c>
      <c r="I20" s="16"/>
    </row>
    <row r="21" customFormat="false" ht="17.15" hidden="false" customHeight="false" outlineLevel="0" collapsed="false">
      <c r="A21" s="14" t="s">
        <v>4</v>
      </c>
      <c r="B21" s="15" t="n">
        <v>2</v>
      </c>
      <c r="C21" s="14" t="s">
        <v>14</v>
      </c>
      <c r="D21" s="14" t="s">
        <v>102</v>
      </c>
      <c r="E21" s="16" t="s">
        <v>119</v>
      </c>
      <c r="F21" s="17" t="s">
        <v>120</v>
      </c>
      <c r="G21" s="17" t="s">
        <v>120</v>
      </c>
      <c r="H21" s="14" t="s">
        <v>79</v>
      </c>
      <c r="I21" s="16"/>
    </row>
    <row r="22" customFormat="false" ht="17.15" hidden="false" customHeight="false" outlineLevel="0" collapsed="false">
      <c r="A22" s="14" t="s">
        <v>4</v>
      </c>
      <c r="B22" s="15" t="n">
        <v>2</v>
      </c>
      <c r="C22" s="14" t="s">
        <v>14</v>
      </c>
      <c r="D22" s="14" t="s">
        <v>102</v>
      </c>
      <c r="E22" s="14" t="s">
        <v>121</v>
      </c>
      <c r="F22" s="17" t="s">
        <v>122</v>
      </c>
      <c r="G22" s="17" t="s">
        <v>122</v>
      </c>
      <c r="H22" s="14" t="s">
        <v>79</v>
      </c>
      <c r="I22" s="16"/>
    </row>
    <row r="23" customFormat="false" ht="17.15" hidden="false" customHeight="false" outlineLevel="0" collapsed="false">
      <c r="A23" s="14" t="s">
        <v>4</v>
      </c>
      <c r="B23" s="15" t="n">
        <v>2</v>
      </c>
      <c r="C23" s="14" t="s">
        <v>14</v>
      </c>
      <c r="D23" s="14" t="s">
        <v>102</v>
      </c>
      <c r="E23" s="16" t="s">
        <v>123</v>
      </c>
      <c r="F23" s="17" t="s">
        <v>124</v>
      </c>
      <c r="G23" s="17" t="s">
        <v>124</v>
      </c>
      <c r="H23" s="14" t="s">
        <v>79</v>
      </c>
      <c r="I23" s="16"/>
    </row>
    <row r="24" customFormat="false" ht="17.15" hidden="false" customHeight="false" outlineLevel="0" collapsed="false">
      <c r="A24" s="14" t="s">
        <v>4</v>
      </c>
      <c r="B24" s="15" t="n">
        <v>2</v>
      </c>
      <c r="C24" s="14" t="s">
        <v>14</v>
      </c>
      <c r="D24" s="14" t="s">
        <v>102</v>
      </c>
      <c r="E24" s="14" t="s">
        <v>125</v>
      </c>
      <c r="F24" s="17" t="s">
        <v>126</v>
      </c>
      <c r="G24" s="17" t="s">
        <v>126</v>
      </c>
      <c r="H24" s="14" t="s">
        <v>79</v>
      </c>
      <c r="I24" s="16"/>
    </row>
    <row r="25" customFormat="false" ht="17.15" hidden="false" customHeight="false" outlineLevel="0" collapsed="false">
      <c r="A25" s="14" t="s">
        <v>4</v>
      </c>
      <c r="B25" s="15" t="n">
        <v>2</v>
      </c>
      <c r="C25" s="14" t="s">
        <v>14</v>
      </c>
      <c r="D25" s="14" t="s">
        <v>102</v>
      </c>
      <c r="E25" s="14" t="s">
        <v>127</v>
      </c>
      <c r="F25" s="17" t="s">
        <v>128</v>
      </c>
      <c r="G25" s="17" t="s">
        <v>128</v>
      </c>
      <c r="H25" s="14" t="s">
        <v>79</v>
      </c>
      <c r="I25" s="14" t="s">
        <v>129</v>
      </c>
    </row>
    <row r="26" customFormat="false" ht="17.15" hidden="false" customHeight="false" outlineLevel="0" collapsed="false">
      <c r="A26" s="14" t="s">
        <v>4</v>
      </c>
      <c r="B26" s="15" t="n">
        <v>2</v>
      </c>
      <c r="C26" s="14" t="s">
        <v>14</v>
      </c>
      <c r="D26" s="14" t="s">
        <v>102</v>
      </c>
      <c r="E26" s="16" t="s">
        <v>130</v>
      </c>
      <c r="F26" s="17" t="s">
        <v>131</v>
      </c>
      <c r="G26" s="17" t="s">
        <v>131</v>
      </c>
      <c r="H26" s="14" t="s">
        <v>79</v>
      </c>
      <c r="I26" s="16"/>
    </row>
    <row r="27" customFormat="false" ht="17.15" hidden="false" customHeight="false" outlineLevel="0" collapsed="false">
      <c r="A27" s="14" t="s">
        <v>4</v>
      </c>
      <c r="B27" s="15" t="n">
        <v>3</v>
      </c>
      <c r="C27" s="14" t="s">
        <v>18</v>
      </c>
      <c r="D27" s="14" t="s">
        <v>132</v>
      </c>
      <c r="E27" s="14" t="s">
        <v>133</v>
      </c>
      <c r="F27" s="17" t="s">
        <v>134</v>
      </c>
      <c r="G27" s="17" t="s">
        <v>134</v>
      </c>
      <c r="H27" s="14" t="s">
        <v>79</v>
      </c>
      <c r="I27" s="16"/>
    </row>
    <row r="28" customFormat="false" ht="17.15" hidden="false" customHeight="false" outlineLevel="0" collapsed="false">
      <c r="A28" s="14" t="s">
        <v>4</v>
      </c>
      <c r="B28" s="15" t="n">
        <v>3</v>
      </c>
      <c r="C28" s="14" t="s">
        <v>18</v>
      </c>
      <c r="D28" s="14" t="s">
        <v>132</v>
      </c>
      <c r="E28" s="14" t="s">
        <v>135</v>
      </c>
      <c r="F28" s="17" t="s">
        <v>136</v>
      </c>
      <c r="G28" s="17" t="s">
        <v>136</v>
      </c>
      <c r="H28" s="14" t="s">
        <v>79</v>
      </c>
      <c r="I28" s="16"/>
    </row>
    <row r="29" customFormat="false" ht="17.15" hidden="false" customHeight="false" outlineLevel="0" collapsed="false">
      <c r="A29" s="14" t="s">
        <v>4</v>
      </c>
      <c r="B29" s="15" t="n">
        <v>3</v>
      </c>
      <c r="C29" s="14" t="s">
        <v>18</v>
      </c>
      <c r="D29" s="14" t="s">
        <v>132</v>
      </c>
      <c r="E29" s="14" t="s">
        <v>137</v>
      </c>
      <c r="F29" s="17" t="s">
        <v>138</v>
      </c>
      <c r="G29" s="17" t="s">
        <v>138</v>
      </c>
      <c r="H29" s="14" t="s">
        <v>79</v>
      </c>
      <c r="I29" s="16"/>
    </row>
    <row r="30" customFormat="false" ht="17.15" hidden="false" customHeight="false" outlineLevel="0" collapsed="false">
      <c r="A30" s="14" t="s">
        <v>4</v>
      </c>
      <c r="B30" s="15" t="n">
        <v>3</v>
      </c>
      <c r="C30" s="14" t="s">
        <v>18</v>
      </c>
      <c r="D30" s="14" t="s">
        <v>132</v>
      </c>
      <c r="E30" s="14" t="s">
        <v>139</v>
      </c>
      <c r="F30" s="17" t="s">
        <v>140</v>
      </c>
      <c r="G30" s="17" t="s">
        <v>140</v>
      </c>
      <c r="H30" s="14" t="s">
        <v>79</v>
      </c>
      <c r="I30" s="16"/>
    </row>
    <row r="31" customFormat="false" ht="17.15" hidden="false" customHeight="false" outlineLevel="0" collapsed="false">
      <c r="A31" s="14" t="s">
        <v>4</v>
      </c>
      <c r="B31" s="15" t="n">
        <v>3</v>
      </c>
      <c r="C31" s="14" t="s">
        <v>18</v>
      </c>
      <c r="D31" s="14" t="s">
        <v>132</v>
      </c>
      <c r="E31" s="14" t="s">
        <v>141</v>
      </c>
      <c r="F31" s="17" t="s">
        <v>142</v>
      </c>
      <c r="G31" s="17" t="s">
        <v>142</v>
      </c>
      <c r="H31" s="14" t="s">
        <v>79</v>
      </c>
      <c r="I31" s="16"/>
    </row>
    <row r="32" customFormat="false" ht="17.15" hidden="false" customHeight="false" outlineLevel="0" collapsed="false">
      <c r="A32" s="14" t="s">
        <v>4</v>
      </c>
      <c r="B32" s="15" t="n">
        <v>3</v>
      </c>
      <c r="C32" s="14" t="s">
        <v>18</v>
      </c>
      <c r="D32" s="14" t="s">
        <v>132</v>
      </c>
      <c r="E32" s="16" t="s">
        <v>143</v>
      </c>
      <c r="F32" s="17" t="s">
        <v>144</v>
      </c>
      <c r="G32" s="17" t="s">
        <v>144</v>
      </c>
      <c r="H32" s="14" t="s">
        <v>79</v>
      </c>
      <c r="I32" s="16"/>
    </row>
    <row r="33" customFormat="false" ht="17.15" hidden="false" customHeight="false" outlineLevel="0" collapsed="false">
      <c r="A33" s="14" t="s">
        <v>4</v>
      </c>
      <c r="B33" s="15" t="n">
        <v>3</v>
      </c>
      <c r="C33" s="14" t="s">
        <v>18</v>
      </c>
      <c r="D33" s="14" t="s">
        <v>132</v>
      </c>
      <c r="E33" s="14" t="s">
        <v>145</v>
      </c>
      <c r="F33" s="17" t="s">
        <v>146</v>
      </c>
      <c r="G33" s="17" t="s">
        <v>146</v>
      </c>
      <c r="H33" s="14" t="s">
        <v>79</v>
      </c>
      <c r="I33" s="14" t="s">
        <v>147</v>
      </c>
    </row>
    <row r="34" customFormat="false" ht="17.15" hidden="false" customHeight="false" outlineLevel="0" collapsed="false">
      <c r="A34" s="14" t="s">
        <v>4</v>
      </c>
      <c r="B34" s="15" t="n">
        <v>3</v>
      </c>
      <c r="C34" s="14" t="s">
        <v>18</v>
      </c>
      <c r="D34" s="14" t="s">
        <v>132</v>
      </c>
      <c r="E34" s="14" t="s">
        <v>148</v>
      </c>
      <c r="F34" s="17" t="s">
        <v>149</v>
      </c>
      <c r="G34" s="17" t="s">
        <v>149</v>
      </c>
      <c r="H34" s="14" t="s">
        <v>79</v>
      </c>
      <c r="I34" s="14" t="s">
        <v>150</v>
      </c>
    </row>
    <row r="35" customFormat="false" ht="17.15" hidden="false" customHeight="false" outlineLevel="0" collapsed="false">
      <c r="A35" s="14" t="s">
        <v>4</v>
      </c>
      <c r="B35" s="15" t="n">
        <v>4</v>
      </c>
      <c r="C35" s="14" t="s">
        <v>22</v>
      </c>
      <c r="D35" s="14" t="s">
        <v>151</v>
      </c>
      <c r="E35" s="14" t="s">
        <v>152</v>
      </c>
      <c r="F35" s="17" t="s">
        <v>153</v>
      </c>
      <c r="G35" s="17" t="s">
        <v>153</v>
      </c>
      <c r="H35" s="14" t="s">
        <v>79</v>
      </c>
      <c r="I35" s="16"/>
    </row>
    <row r="36" customFormat="false" ht="17.15" hidden="false" customHeight="false" outlineLevel="0" collapsed="false">
      <c r="A36" s="14" t="s">
        <v>4</v>
      </c>
      <c r="B36" s="15" t="n">
        <v>4</v>
      </c>
      <c r="C36" s="14" t="s">
        <v>22</v>
      </c>
      <c r="D36" s="14" t="s">
        <v>151</v>
      </c>
      <c r="E36" s="14" t="s">
        <v>154</v>
      </c>
      <c r="F36" s="17" t="s">
        <v>155</v>
      </c>
      <c r="G36" s="17" t="s">
        <v>155</v>
      </c>
      <c r="H36" s="14" t="s">
        <v>79</v>
      </c>
      <c r="I36" s="16"/>
    </row>
    <row r="37" customFormat="false" ht="17.15" hidden="false" customHeight="false" outlineLevel="0" collapsed="false">
      <c r="A37" s="14" t="s">
        <v>4</v>
      </c>
      <c r="B37" s="15" t="n">
        <v>4</v>
      </c>
      <c r="C37" s="14" t="s">
        <v>22</v>
      </c>
      <c r="D37" s="14" t="s">
        <v>151</v>
      </c>
      <c r="E37" s="14" t="s">
        <v>156</v>
      </c>
      <c r="F37" s="17" t="s">
        <v>157</v>
      </c>
      <c r="G37" s="17" t="s">
        <v>157</v>
      </c>
      <c r="H37" s="14" t="s">
        <v>79</v>
      </c>
      <c r="I37" s="16"/>
    </row>
    <row r="38" customFormat="false" ht="17.15" hidden="false" customHeight="false" outlineLevel="0" collapsed="false">
      <c r="A38" s="14" t="s">
        <v>4</v>
      </c>
      <c r="B38" s="15" t="n">
        <v>5</v>
      </c>
      <c r="C38" s="14" t="s">
        <v>26</v>
      </c>
      <c r="D38" s="16" t="s">
        <v>44</v>
      </c>
      <c r="E38" s="16" t="s">
        <v>45</v>
      </c>
      <c r="F38" s="17" t="s">
        <v>158</v>
      </c>
      <c r="G38" s="17" t="s">
        <v>158</v>
      </c>
      <c r="H38" s="14" t="s">
        <v>159</v>
      </c>
      <c r="I38" s="16" t="s">
        <v>160</v>
      </c>
    </row>
    <row r="39" customFormat="false" ht="17.15" hidden="false" customHeight="false" outlineLevel="0" collapsed="false">
      <c r="A39" s="14" t="s">
        <v>4</v>
      </c>
      <c r="B39" s="15" t="n">
        <v>5</v>
      </c>
      <c r="C39" s="14" t="s">
        <v>26</v>
      </c>
      <c r="D39" s="16" t="s">
        <v>44</v>
      </c>
      <c r="E39" s="14" t="s">
        <v>47</v>
      </c>
      <c r="F39" s="17" t="s">
        <v>161</v>
      </c>
      <c r="G39" s="17" t="s">
        <v>161</v>
      </c>
      <c r="H39" s="14" t="s">
        <v>159</v>
      </c>
      <c r="I39" s="16" t="s">
        <v>160</v>
      </c>
    </row>
    <row r="40" customFormat="false" ht="17.15" hidden="false" customHeight="false" outlineLevel="0" collapsed="false">
      <c r="A40" s="14" t="s">
        <v>4</v>
      </c>
      <c r="B40" s="15" t="n">
        <v>5</v>
      </c>
      <c r="C40" s="14" t="s">
        <v>26</v>
      </c>
      <c r="D40" s="16" t="s">
        <v>44</v>
      </c>
      <c r="E40" s="14" t="s">
        <v>48</v>
      </c>
      <c r="F40" s="17" t="s">
        <v>162</v>
      </c>
      <c r="G40" s="17" t="s">
        <v>162</v>
      </c>
      <c r="H40" s="14" t="s">
        <v>159</v>
      </c>
      <c r="I40" s="16" t="s">
        <v>160</v>
      </c>
    </row>
    <row r="41" customFormat="false" ht="17.15" hidden="false" customHeight="false" outlineLevel="0" collapsed="false">
      <c r="A41" s="14" t="s">
        <v>4</v>
      </c>
      <c r="B41" s="15" t="n">
        <v>5</v>
      </c>
      <c r="C41" s="14" t="s">
        <v>26</v>
      </c>
      <c r="D41" s="16" t="s">
        <v>44</v>
      </c>
      <c r="E41" s="14" t="s">
        <v>49</v>
      </c>
      <c r="F41" s="17" t="s">
        <v>163</v>
      </c>
      <c r="G41" s="17" t="s">
        <v>163</v>
      </c>
      <c r="H41" s="14" t="s">
        <v>159</v>
      </c>
      <c r="I41" s="16" t="s">
        <v>160</v>
      </c>
    </row>
    <row r="42" customFormat="false" ht="17.15" hidden="false" customHeight="false" outlineLevel="0" collapsed="false">
      <c r="A42" s="14" t="s">
        <v>4</v>
      </c>
      <c r="B42" s="15" t="n">
        <v>5</v>
      </c>
      <c r="C42" s="14" t="s">
        <v>26</v>
      </c>
      <c r="D42" s="16" t="s">
        <v>44</v>
      </c>
      <c r="E42" s="14" t="s">
        <v>50</v>
      </c>
      <c r="F42" s="17" t="s">
        <v>164</v>
      </c>
      <c r="G42" s="17" t="s">
        <v>164</v>
      </c>
      <c r="H42" s="14" t="s">
        <v>159</v>
      </c>
      <c r="I42" s="16" t="s">
        <v>160</v>
      </c>
    </row>
    <row r="43" customFormat="false" ht="17.15" hidden="false" customHeight="false" outlineLevel="0" collapsed="false">
      <c r="A43" s="14" t="s">
        <v>4</v>
      </c>
      <c r="B43" s="15" t="n">
        <v>5</v>
      </c>
      <c r="C43" s="14" t="s">
        <v>26</v>
      </c>
      <c r="D43" s="16" t="s">
        <v>44</v>
      </c>
      <c r="E43" s="14" t="s">
        <v>51</v>
      </c>
      <c r="F43" s="17" t="s">
        <v>165</v>
      </c>
      <c r="G43" s="17" t="s">
        <v>165</v>
      </c>
      <c r="H43" s="14" t="s">
        <v>159</v>
      </c>
      <c r="I43" s="16" t="s">
        <v>160</v>
      </c>
    </row>
    <row r="44" customFormat="false" ht="17.15" hidden="false" customHeight="false" outlineLevel="0" collapsed="false">
      <c r="A44" s="14" t="s">
        <v>4</v>
      </c>
      <c r="B44" s="15" t="n">
        <v>5</v>
      </c>
      <c r="C44" s="14" t="s">
        <v>26</v>
      </c>
      <c r="D44" s="16" t="s">
        <v>44</v>
      </c>
      <c r="E44" s="14" t="s">
        <v>52</v>
      </c>
      <c r="F44" s="17" t="s">
        <v>166</v>
      </c>
      <c r="G44" s="17" t="s">
        <v>166</v>
      </c>
      <c r="H44" s="14" t="s">
        <v>159</v>
      </c>
      <c r="I44" s="16" t="s">
        <v>160</v>
      </c>
    </row>
    <row r="45" customFormat="false" ht="17.15" hidden="false" customHeight="false" outlineLevel="0" collapsed="false">
      <c r="A45" s="14" t="s">
        <v>4</v>
      </c>
      <c r="B45" s="15" t="n">
        <v>5</v>
      </c>
      <c r="C45" s="14" t="s">
        <v>26</v>
      </c>
      <c r="D45" s="16" t="s">
        <v>44</v>
      </c>
      <c r="E45" s="14" t="s">
        <v>53</v>
      </c>
      <c r="F45" s="17" t="s">
        <v>167</v>
      </c>
      <c r="G45" s="17" t="s">
        <v>167</v>
      </c>
      <c r="H45" s="14" t="s">
        <v>159</v>
      </c>
      <c r="I45" s="16" t="s">
        <v>160</v>
      </c>
    </row>
    <row r="46" customFormat="false" ht="17.15" hidden="false" customHeight="false" outlineLevel="0" collapsed="false">
      <c r="A46" s="14" t="s">
        <v>4</v>
      </c>
      <c r="B46" s="15" t="n">
        <v>5</v>
      </c>
      <c r="C46" s="14" t="s">
        <v>26</v>
      </c>
      <c r="D46" s="16" t="s">
        <v>44</v>
      </c>
      <c r="E46" s="14" t="s">
        <v>54</v>
      </c>
      <c r="F46" s="17" t="s">
        <v>168</v>
      </c>
      <c r="G46" s="17" t="s">
        <v>168</v>
      </c>
      <c r="H46" s="14" t="s">
        <v>159</v>
      </c>
      <c r="I46" s="16" t="s">
        <v>160</v>
      </c>
    </row>
    <row r="47" customFormat="false" ht="17.15" hidden="false" customHeight="false" outlineLevel="0" collapsed="false">
      <c r="A47" s="14" t="s">
        <v>4</v>
      </c>
      <c r="B47" s="15" t="n">
        <v>5</v>
      </c>
      <c r="C47" s="14" t="s">
        <v>26</v>
      </c>
      <c r="D47" s="16" t="s">
        <v>44</v>
      </c>
      <c r="E47" s="14" t="s">
        <v>55</v>
      </c>
      <c r="F47" s="17" t="s">
        <v>169</v>
      </c>
      <c r="G47" s="17" t="s">
        <v>169</v>
      </c>
      <c r="H47" s="14" t="s">
        <v>159</v>
      </c>
      <c r="I47" s="16" t="s">
        <v>160</v>
      </c>
    </row>
    <row r="48" customFormat="false" ht="17.15" hidden="false" customHeight="false" outlineLevel="0" collapsed="false">
      <c r="A48" s="14" t="s">
        <v>4</v>
      </c>
      <c r="B48" s="15" t="n">
        <v>5</v>
      </c>
      <c r="C48" s="14" t="s">
        <v>26</v>
      </c>
      <c r="D48" s="14" t="s">
        <v>170</v>
      </c>
      <c r="E48" s="14" t="s">
        <v>171</v>
      </c>
      <c r="F48" s="17" t="s">
        <v>172</v>
      </c>
      <c r="G48" s="17" t="s">
        <v>172</v>
      </c>
      <c r="H48" s="14" t="s">
        <v>173</v>
      </c>
      <c r="I48" s="14" t="s">
        <v>174</v>
      </c>
    </row>
    <row r="49" customFormat="false" ht="17.15" hidden="false" customHeight="false" outlineLevel="0" collapsed="false">
      <c r="A49" s="14" t="s">
        <v>4</v>
      </c>
      <c r="B49" s="15" t="n">
        <v>6</v>
      </c>
      <c r="C49" s="14" t="s">
        <v>30</v>
      </c>
      <c r="D49" s="16" t="s">
        <v>44</v>
      </c>
      <c r="E49" s="14" t="s">
        <v>56</v>
      </c>
      <c r="F49" s="17" t="s">
        <v>175</v>
      </c>
      <c r="G49" s="17" t="s">
        <v>175</v>
      </c>
      <c r="H49" s="14" t="s">
        <v>159</v>
      </c>
      <c r="I49" s="16" t="s">
        <v>160</v>
      </c>
    </row>
    <row r="50" customFormat="false" ht="17.15" hidden="false" customHeight="false" outlineLevel="0" collapsed="false">
      <c r="A50" s="14" t="s">
        <v>4</v>
      </c>
      <c r="B50" s="15" t="n">
        <v>6</v>
      </c>
      <c r="C50" s="14" t="s">
        <v>30</v>
      </c>
      <c r="D50" s="16" t="s">
        <v>44</v>
      </c>
      <c r="E50" s="14" t="s">
        <v>58</v>
      </c>
      <c r="F50" s="17" t="s">
        <v>176</v>
      </c>
      <c r="G50" s="17" t="s">
        <v>176</v>
      </c>
      <c r="H50" s="14" t="s">
        <v>159</v>
      </c>
      <c r="I50" s="16" t="s">
        <v>177</v>
      </c>
    </row>
    <row r="51" customFormat="false" ht="17.15" hidden="false" customHeight="false" outlineLevel="0" collapsed="false">
      <c r="A51" s="14" t="s">
        <v>4</v>
      </c>
      <c r="B51" s="15" t="n">
        <v>6</v>
      </c>
      <c r="C51" s="14" t="s">
        <v>30</v>
      </c>
      <c r="D51" s="16" t="s">
        <v>44</v>
      </c>
      <c r="E51" s="14" t="s">
        <v>59</v>
      </c>
      <c r="F51" s="17" t="s">
        <v>178</v>
      </c>
      <c r="G51" s="17" t="s">
        <v>178</v>
      </c>
      <c r="H51" s="14" t="s">
        <v>159</v>
      </c>
      <c r="I51" s="16" t="s">
        <v>179</v>
      </c>
    </row>
    <row r="52" customFormat="false" ht="17.15" hidden="false" customHeight="false" outlineLevel="0" collapsed="false">
      <c r="A52" s="14" t="s">
        <v>4</v>
      </c>
      <c r="B52" s="15" t="n">
        <v>6</v>
      </c>
      <c r="C52" s="14" t="s">
        <v>30</v>
      </c>
      <c r="D52" s="16" t="s">
        <v>44</v>
      </c>
      <c r="E52" s="16" t="s">
        <v>60</v>
      </c>
      <c r="F52" s="17" t="s">
        <v>180</v>
      </c>
      <c r="G52" s="17" t="s">
        <v>180</v>
      </c>
      <c r="H52" s="14" t="s">
        <v>159</v>
      </c>
      <c r="I52" s="16" t="s">
        <v>181</v>
      </c>
    </row>
    <row r="53" customFormat="false" ht="17.15" hidden="false" customHeight="false" outlineLevel="0" collapsed="false">
      <c r="A53" s="14" t="s">
        <v>4</v>
      </c>
      <c r="B53" s="15" t="n">
        <v>6</v>
      </c>
      <c r="C53" s="14" t="s">
        <v>30</v>
      </c>
      <c r="D53" s="16" t="s">
        <v>44</v>
      </c>
      <c r="E53" s="14" t="s">
        <v>61</v>
      </c>
      <c r="F53" s="17" t="s">
        <v>182</v>
      </c>
      <c r="G53" s="17" t="s">
        <v>182</v>
      </c>
      <c r="H53" s="14" t="s">
        <v>159</v>
      </c>
      <c r="I53" s="16" t="s">
        <v>160</v>
      </c>
    </row>
    <row r="54" customFormat="false" ht="17.15" hidden="false" customHeight="false" outlineLevel="0" collapsed="false">
      <c r="A54" s="14" t="s">
        <v>4</v>
      </c>
      <c r="B54" s="15" t="n">
        <v>6</v>
      </c>
      <c r="C54" s="14" t="s">
        <v>30</v>
      </c>
      <c r="D54" s="16" t="s">
        <v>44</v>
      </c>
      <c r="E54" s="14" t="s">
        <v>62</v>
      </c>
      <c r="F54" s="17" t="s">
        <v>183</v>
      </c>
      <c r="G54" s="17" t="s">
        <v>183</v>
      </c>
      <c r="H54" s="14" t="s">
        <v>159</v>
      </c>
      <c r="I54" s="16" t="s">
        <v>184</v>
      </c>
    </row>
    <row r="55" customFormat="false" ht="17.15" hidden="false" customHeight="false" outlineLevel="0" collapsed="false">
      <c r="A55" s="14" t="s">
        <v>4</v>
      </c>
      <c r="B55" s="15" t="n">
        <v>6</v>
      </c>
      <c r="C55" s="14" t="s">
        <v>30</v>
      </c>
      <c r="D55" s="16" t="s">
        <v>44</v>
      </c>
      <c r="E55" s="14" t="s">
        <v>63</v>
      </c>
      <c r="F55" s="17" t="s">
        <v>185</v>
      </c>
      <c r="G55" s="17" t="s">
        <v>185</v>
      </c>
      <c r="H55" s="14" t="s">
        <v>159</v>
      </c>
      <c r="I55" s="16" t="s">
        <v>186</v>
      </c>
    </row>
    <row r="56" customFormat="false" ht="17.15" hidden="false" customHeight="false" outlineLevel="0" collapsed="false">
      <c r="A56" s="14" t="s">
        <v>4</v>
      </c>
      <c r="B56" s="15" t="n">
        <v>7</v>
      </c>
      <c r="C56" s="14" t="s">
        <v>34</v>
      </c>
      <c r="D56" s="14" t="s">
        <v>187</v>
      </c>
      <c r="E56" s="14" t="s">
        <v>188</v>
      </c>
      <c r="F56" s="17" t="s">
        <v>189</v>
      </c>
      <c r="G56" s="17" t="s">
        <v>189</v>
      </c>
      <c r="H56" s="14" t="s">
        <v>79</v>
      </c>
      <c r="I56" s="16"/>
    </row>
    <row r="57" customFormat="false" ht="17.15" hidden="false" customHeight="false" outlineLevel="0" collapsed="false">
      <c r="A57" s="14" t="s">
        <v>4</v>
      </c>
      <c r="B57" s="15" t="n">
        <v>7</v>
      </c>
      <c r="C57" s="14" t="s">
        <v>34</v>
      </c>
      <c r="D57" s="14" t="s">
        <v>187</v>
      </c>
      <c r="E57" s="14" t="s">
        <v>190</v>
      </c>
      <c r="F57" s="17" t="s">
        <v>191</v>
      </c>
      <c r="G57" s="17" t="s">
        <v>191</v>
      </c>
      <c r="H57" s="14" t="s">
        <v>79</v>
      </c>
      <c r="I57" s="16"/>
    </row>
    <row r="58" customFormat="false" ht="17.15" hidden="false" customHeight="false" outlineLevel="0" collapsed="false">
      <c r="A58" s="14" t="s">
        <v>4</v>
      </c>
      <c r="B58" s="15" t="n">
        <v>7</v>
      </c>
      <c r="C58" s="14" t="s">
        <v>34</v>
      </c>
      <c r="D58" s="14" t="s">
        <v>187</v>
      </c>
      <c r="E58" s="16" t="s">
        <v>192</v>
      </c>
      <c r="F58" s="17" t="s">
        <v>193</v>
      </c>
      <c r="G58" s="17" t="s">
        <v>193</v>
      </c>
      <c r="H58" s="14" t="s">
        <v>79</v>
      </c>
      <c r="I58" s="16"/>
    </row>
    <row r="59" customFormat="false" ht="17.15" hidden="false" customHeight="false" outlineLevel="0" collapsed="false">
      <c r="A59" s="14" t="s">
        <v>4</v>
      </c>
      <c r="B59" s="15" t="n">
        <v>7</v>
      </c>
      <c r="C59" s="14" t="s">
        <v>34</v>
      </c>
      <c r="D59" s="14" t="s">
        <v>187</v>
      </c>
      <c r="E59" s="16" t="s">
        <v>194</v>
      </c>
      <c r="F59" s="17" t="s">
        <v>195</v>
      </c>
      <c r="G59" s="17" t="s">
        <v>195</v>
      </c>
      <c r="H59" s="14" t="s">
        <v>79</v>
      </c>
      <c r="I59" s="16"/>
    </row>
    <row r="60" customFormat="false" ht="17.15" hidden="false" customHeight="false" outlineLevel="0" collapsed="false">
      <c r="A60" s="14" t="s">
        <v>4</v>
      </c>
      <c r="B60" s="15" t="n">
        <v>7</v>
      </c>
      <c r="C60" s="14" t="s">
        <v>34</v>
      </c>
      <c r="D60" s="14" t="s">
        <v>187</v>
      </c>
      <c r="E60" s="14" t="s">
        <v>196</v>
      </c>
      <c r="F60" s="17" t="s">
        <v>197</v>
      </c>
      <c r="G60" s="17" t="s">
        <v>197</v>
      </c>
      <c r="H60" s="14" t="s">
        <v>79</v>
      </c>
      <c r="I60" s="14" t="s">
        <v>198</v>
      </c>
    </row>
    <row r="61" customFormat="false" ht="17.15" hidden="false" customHeight="false" outlineLevel="0" collapsed="false">
      <c r="A61" s="14" t="s">
        <v>4</v>
      </c>
      <c r="B61" s="15" t="n">
        <v>7</v>
      </c>
      <c r="C61" s="14" t="s">
        <v>34</v>
      </c>
      <c r="D61" s="14" t="s">
        <v>187</v>
      </c>
      <c r="E61" s="14" t="s">
        <v>199</v>
      </c>
      <c r="F61" s="17" t="s">
        <v>200</v>
      </c>
      <c r="G61" s="17" t="s">
        <v>200</v>
      </c>
      <c r="H61" s="14" t="s">
        <v>79</v>
      </c>
      <c r="I61" s="16"/>
    </row>
    <row r="62" customFormat="false" ht="17.15" hidden="false" customHeight="false" outlineLevel="0" collapsed="false">
      <c r="A62" s="14" t="s">
        <v>4</v>
      </c>
      <c r="B62" s="15" t="n">
        <v>7</v>
      </c>
      <c r="C62" s="14" t="s">
        <v>34</v>
      </c>
      <c r="D62" s="14" t="s">
        <v>187</v>
      </c>
      <c r="E62" s="14" t="s">
        <v>201</v>
      </c>
      <c r="F62" s="17" t="s">
        <v>202</v>
      </c>
      <c r="G62" s="17" t="s">
        <v>202</v>
      </c>
      <c r="H62" s="14" t="s">
        <v>79</v>
      </c>
      <c r="I62" s="16"/>
    </row>
    <row r="63" customFormat="false" ht="17.15" hidden="false" customHeight="false" outlineLevel="0" collapsed="false">
      <c r="A63" s="14" t="s">
        <v>4</v>
      </c>
      <c r="B63" s="15"/>
      <c r="C63" s="16" t="s">
        <v>65</v>
      </c>
      <c r="D63" s="16" t="s">
        <v>44</v>
      </c>
      <c r="E63" s="16" t="s">
        <v>64</v>
      </c>
      <c r="F63" s="17" t="s">
        <v>203</v>
      </c>
      <c r="G63" s="17" t="s">
        <v>203</v>
      </c>
      <c r="H63" s="14" t="s">
        <v>204</v>
      </c>
      <c r="I63" s="14" t="s">
        <v>205</v>
      </c>
    </row>
    <row r="64" customFormat="false" ht="17.15" hidden="false" customHeight="false" outlineLevel="0" collapsed="false">
      <c r="A64" s="14" t="s">
        <v>4</v>
      </c>
      <c r="B64" s="15"/>
      <c r="C64" s="16" t="s">
        <v>65</v>
      </c>
      <c r="D64" s="16" t="s">
        <v>44</v>
      </c>
      <c r="E64" s="14" t="s">
        <v>66</v>
      </c>
      <c r="F64" s="17" t="s">
        <v>206</v>
      </c>
      <c r="G64" s="17" t="s">
        <v>206</v>
      </c>
      <c r="H64" s="14" t="s">
        <v>204</v>
      </c>
      <c r="I64" s="14" t="s">
        <v>205</v>
      </c>
    </row>
    <row r="65" customFormat="false" ht="17.15" hidden="false" customHeight="false" outlineLevel="0" collapsed="false">
      <c r="A65" s="14" t="s">
        <v>5</v>
      </c>
      <c r="B65" s="15" t="n">
        <v>1</v>
      </c>
      <c r="C65" s="14" t="s">
        <v>10</v>
      </c>
      <c r="D65" s="14" t="s">
        <v>207</v>
      </c>
      <c r="E65" s="14" t="s">
        <v>208</v>
      </c>
      <c r="F65" s="17" t="s">
        <v>209</v>
      </c>
      <c r="G65" s="17" t="s">
        <v>210</v>
      </c>
      <c r="H65" s="14" t="s">
        <v>79</v>
      </c>
      <c r="I65" s="16"/>
    </row>
    <row r="66" customFormat="false" ht="17.15" hidden="false" customHeight="false" outlineLevel="0" collapsed="false">
      <c r="A66" s="14" t="s">
        <v>5</v>
      </c>
      <c r="B66" s="15" t="n">
        <v>1</v>
      </c>
      <c r="C66" s="14" t="s">
        <v>10</v>
      </c>
      <c r="D66" s="14" t="s">
        <v>207</v>
      </c>
      <c r="E66" s="14" t="s">
        <v>211</v>
      </c>
      <c r="F66" s="17" t="s">
        <v>212</v>
      </c>
      <c r="G66" s="17" t="s">
        <v>213</v>
      </c>
      <c r="H66" s="14" t="s">
        <v>79</v>
      </c>
      <c r="I66" s="16"/>
    </row>
    <row r="67" customFormat="false" ht="17.15" hidden="false" customHeight="false" outlineLevel="0" collapsed="false">
      <c r="A67" s="14" t="s">
        <v>5</v>
      </c>
      <c r="B67" s="15" t="n">
        <v>1</v>
      </c>
      <c r="C67" s="14" t="s">
        <v>10</v>
      </c>
      <c r="D67" s="14" t="s">
        <v>207</v>
      </c>
      <c r="E67" s="14" t="s">
        <v>214</v>
      </c>
      <c r="F67" s="17" t="s">
        <v>215</v>
      </c>
      <c r="G67" s="17" t="s">
        <v>216</v>
      </c>
      <c r="H67" s="14" t="s">
        <v>79</v>
      </c>
      <c r="I67" s="16"/>
    </row>
    <row r="68" customFormat="false" ht="17.15" hidden="false" customHeight="false" outlineLevel="0" collapsed="false">
      <c r="A68" s="14" t="s">
        <v>5</v>
      </c>
      <c r="B68" s="15" t="n">
        <v>2</v>
      </c>
      <c r="C68" s="14" t="s">
        <v>14</v>
      </c>
      <c r="D68" s="14" t="s">
        <v>217</v>
      </c>
      <c r="E68" s="14" t="s">
        <v>218</v>
      </c>
      <c r="F68" s="17" t="s">
        <v>219</v>
      </c>
      <c r="G68" s="17" t="s">
        <v>220</v>
      </c>
      <c r="H68" s="14" t="s">
        <v>221</v>
      </c>
      <c r="I68" s="14" t="s">
        <v>222</v>
      </c>
    </row>
    <row r="69" customFormat="false" ht="17.15" hidden="false" customHeight="false" outlineLevel="0" collapsed="false">
      <c r="A69" s="14" t="s">
        <v>5</v>
      </c>
      <c r="B69" s="15" t="n">
        <v>2</v>
      </c>
      <c r="C69" s="14" t="s">
        <v>14</v>
      </c>
      <c r="D69" s="14" t="s">
        <v>223</v>
      </c>
      <c r="E69" s="14" t="s">
        <v>224</v>
      </c>
      <c r="F69" s="17" t="s">
        <v>225</v>
      </c>
      <c r="G69" s="17" t="s">
        <v>226</v>
      </c>
      <c r="H69" s="14" t="s">
        <v>159</v>
      </c>
      <c r="I69" s="14" t="s">
        <v>227</v>
      </c>
    </row>
    <row r="70" customFormat="false" ht="17.15" hidden="false" customHeight="false" outlineLevel="0" collapsed="false">
      <c r="A70" s="14" t="s">
        <v>5</v>
      </c>
      <c r="B70" s="15" t="n">
        <v>2</v>
      </c>
      <c r="C70" s="14" t="s">
        <v>14</v>
      </c>
      <c r="D70" s="14" t="s">
        <v>170</v>
      </c>
      <c r="E70" s="14" t="s">
        <v>228</v>
      </c>
      <c r="F70" s="17" t="s">
        <v>229</v>
      </c>
      <c r="G70" s="17" t="s">
        <v>230</v>
      </c>
      <c r="H70" s="14" t="s">
        <v>173</v>
      </c>
      <c r="I70" s="14" t="s">
        <v>231</v>
      </c>
    </row>
    <row r="71" customFormat="false" ht="17.15" hidden="false" customHeight="false" outlineLevel="0" collapsed="false">
      <c r="A71" s="14" t="s">
        <v>5</v>
      </c>
      <c r="B71" s="15" t="n">
        <v>3</v>
      </c>
      <c r="C71" s="14" t="s">
        <v>18</v>
      </c>
      <c r="D71" s="14" t="s">
        <v>232</v>
      </c>
      <c r="E71" s="14" t="s">
        <v>20</v>
      </c>
      <c r="F71" s="17" t="s">
        <v>233</v>
      </c>
      <c r="G71" s="17" t="s">
        <v>234</v>
      </c>
      <c r="H71" s="14" t="s">
        <v>79</v>
      </c>
      <c r="I71" s="14" t="s">
        <v>18</v>
      </c>
    </row>
    <row r="72" customFormat="false" ht="17.15" hidden="false" customHeight="false" outlineLevel="0" collapsed="false">
      <c r="A72" s="14" t="s">
        <v>5</v>
      </c>
      <c r="B72" s="15" t="n">
        <v>4</v>
      </c>
      <c r="C72" s="14" t="s">
        <v>22</v>
      </c>
      <c r="D72" s="14" t="s">
        <v>170</v>
      </c>
      <c r="E72" s="14" t="s">
        <v>24</v>
      </c>
      <c r="F72" s="17" t="s">
        <v>235</v>
      </c>
      <c r="G72" s="17" t="s">
        <v>236</v>
      </c>
      <c r="H72" s="14" t="s">
        <v>173</v>
      </c>
      <c r="I72" s="14" t="s">
        <v>237</v>
      </c>
    </row>
    <row r="73" customFormat="false" ht="17.15" hidden="false" customHeight="false" outlineLevel="0" collapsed="false">
      <c r="A73" s="14" t="s">
        <v>5</v>
      </c>
      <c r="B73" s="15" t="n">
        <v>5</v>
      </c>
      <c r="C73" s="14" t="s">
        <v>26</v>
      </c>
      <c r="D73" s="14" t="s">
        <v>238</v>
      </c>
      <c r="E73" s="14" t="s">
        <v>239</v>
      </c>
      <c r="F73" s="17" t="s">
        <v>240</v>
      </c>
      <c r="G73" s="17" t="s">
        <v>241</v>
      </c>
      <c r="H73" s="14" t="s">
        <v>79</v>
      </c>
      <c r="I73" s="16"/>
    </row>
    <row r="74" customFormat="false" ht="17.15" hidden="false" customHeight="false" outlineLevel="0" collapsed="false">
      <c r="A74" s="14" t="s">
        <v>5</v>
      </c>
      <c r="B74" s="15" t="n">
        <v>5</v>
      </c>
      <c r="C74" s="14" t="s">
        <v>26</v>
      </c>
      <c r="D74" s="14" t="s">
        <v>238</v>
      </c>
      <c r="E74" s="14" t="s">
        <v>242</v>
      </c>
      <c r="F74" s="17" t="s">
        <v>243</v>
      </c>
      <c r="G74" s="17" t="s">
        <v>244</v>
      </c>
      <c r="H74" s="14" t="s">
        <v>79</v>
      </c>
      <c r="I74" s="16"/>
    </row>
    <row r="75" customFormat="false" ht="17.15" hidden="false" customHeight="false" outlineLevel="0" collapsed="false">
      <c r="A75" s="14" t="s">
        <v>5</v>
      </c>
      <c r="B75" s="15" t="n">
        <v>5</v>
      </c>
      <c r="C75" s="14" t="s">
        <v>26</v>
      </c>
      <c r="D75" s="14" t="s">
        <v>238</v>
      </c>
      <c r="E75" s="14" t="s">
        <v>245</v>
      </c>
      <c r="F75" s="17" t="s">
        <v>246</v>
      </c>
      <c r="G75" s="17" t="s">
        <v>247</v>
      </c>
      <c r="H75" s="14" t="s">
        <v>79</v>
      </c>
      <c r="I75" s="16"/>
    </row>
    <row r="76" customFormat="false" ht="17.15" hidden="false" customHeight="false" outlineLevel="0" collapsed="false">
      <c r="A76" s="14" t="s">
        <v>5</v>
      </c>
      <c r="B76" s="15" t="n">
        <v>5</v>
      </c>
      <c r="C76" s="14" t="s">
        <v>26</v>
      </c>
      <c r="D76" s="14" t="s">
        <v>170</v>
      </c>
      <c r="E76" s="14" t="s">
        <v>248</v>
      </c>
      <c r="F76" s="17" t="s">
        <v>249</v>
      </c>
      <c r="G76" s="17" t="s">
        <v>250</v>
      </c>
      <c r="H76" s="14" t="s">
        <v>173</v>
      </c>
      <c r="I76" s="14" t="s">
        <v>251</v>
      </c>
    </row>
    <row r="77" customFormat="false" ht="17.15" hidden="false" customHeight="false" outlineLevel="0" collapsed="false">
      <c r="A77" s="14" t="s">
        <v>5</v>
      </c>
      <c r="B77" s="15" t="n">
        <v>6</v>
      </c>
      <c r="C77" s="14" t="s">
        <v>30</v>
      </c>
      <c r="D77" s="14" t="s">
        <v>217</v>
      </c>
      <c r="E77" s="14" t="s">
        <v>252</v>
      </c>
      <c r="F77" s="17" t="s">
        <v>253</v>
      </c>
      <c r="G77" s="17" t="s">
        <v>254</v>
      </c>
      <c r="H77" s="14" t="s">
        <v>79</v>
      </c>
      <c r="I77" s="14" t="s">
        <v>255</v>
      </c>
    </row>
    <row r="78" customFormat="false" ht="17.15" hidden="false" customHeight="false" outlineLevel="0" collapsed="false">
      <c r="A78" s="14" t="s">
        <v>5</v>
      </c>
      <c r="B78" s="15" t="n">
        <v>6</v>
      </c>
      <c r="C78" s="14" t="s">
        <v>30</v>
      </c>
      <c r="D78" s="14" t="s">
        <v>217</v>
      </c>
      <c r="E78" s="14" t="s">
        <v>256</v>
      </c>
      <c r="F78" s="17" t="s">
        <v>257</v>
      </c>
      <c r="G78" s="17" t="s">
        <v>258</v>
      </c>
      <c r="H78" s="14" t="s">
        <v>79</v>
      </c>
      <c r="I78" s="14" t="s">
        <v>259</v>
      </c>
    </row>
    <row r="79" customFormat="false" ht="17.15" hidden="false" customHeight="false" outlineLevel="0" collapsed="false">
      <c r="A79" s="14" t="s">
        <v>5</v>
      </c>
      <c r="B79" s="15" t="n">
        <v>6</v>
      </c>
      <c r="C79" s="14" t="s">
        <v>30</v>
      </c>
      <c r="D79" s="14" t="s">
        <v>217</v>
      </c>
      <c r="E79" s="14" t="s">
        <v>260</v>
      </c>
      <c r="F79" s="17" t="s">
        <v>261</v>
      </c>
      <c r="G79" s="17" t="s">
        <v>262</v>
      </c>
      <c r="H79" s="14" t="s">
        <v>79</v>
      </c>
      <c r="I79" s="14" t="s">
        <v>263</v>
      </c>
    </row>
    <row r="80" customFormat="false" ht="17.15" hidden="false" customHeight="false" outlineLevel="0" collapsed="false">
      <c r="A80" s="14" t="s">
        <v>5</v>
      </c>
      <c r="B80" s="15" t="n">
        <v>7</v>
      </c>
      <c r="C80" s="14" t="s">
        <v>34</v>
      </c>
      <c r="D80" s="14" t="s">
        <v>232</v>
      </c>
      <c r="E80" s="14" t="s">
        <v>264</v>
      </c>
      <c r="F80" s="17" t="s">
        <v>265</v>
      </c>
      <c r="G80" s="17" t="s">
        <v>266</v>
      </c>
      <c r="H80" s="14" t="s">
        <v>221</v>
      </c>
      <c r="I80" s="14" t="s">
        <v>267</v>
      </c>
    </row>
    <row r="81" customFormat="false" ht="17.15" hidden="false" customHeight="false" outlineLevel="0" collapsed="false">
      <c r="A81" s="14" t="s">
        <v>5</v>
      </c>
      <c r="B81" s="15" t="n">
        <v>7</v>
      </c>
      <c r="C81" s="14" t="s">
        <v>34</v>
      </c>
      <c r="D81" s="14" t="s">
        <v>67</v>
      </c>
      <c r="E81" s="14" t="s">
        <v>68</v>
      </c>
      <c r="F81" s="17" t="s">
        <v>268</v>
      </c>
      <c r="G81" s="17" t="s">
        <v>269</v>
      </c>
      <c r="H81" s="14" t="s">
        <v>159</v>
      </c>
      <c r="I81" s="14" t="s">
        <v>270</v>
      </c>
    </row>
    <row r="82" customFormat="false" ht="17.15" hidden="false" customHeight="false" outlineLevel="0" collapsed="false">
      <c r="A82" s="14" t="s">
        <v>5</v>
      </c>
      <c r="B82" s="15" t="n">
        <v>7</v>
      </c>
      <c r="C82" s="14" t="s">
        <v>34</v>
      </c>
      <c r="D82" s="14" t="s">
        <v>170</v>
      </c>
      <c r="E82" s="14" t="s">
        <v>271</v>
      </c>
      <c r="F82" s="17" t="s">
        <v>272</v>
      </c>
      <c r="G82" s="17" t="s">
        <v>273</v>
      </c>
      <c r="H82" s="14" t="s">
        <v>173</v>
      </c>
      <c r="I82" s="14" t="s">
        <v>274</v>
      </c>
    </row>
    <row r="83" customFormat="false" ht="17.15" hidden="false" customHeight="false" outlineLevel="0" collapsed="false">
      <c r="A83" s="14" t="s">
        <v>6</v>
      </c>
      <c r="B83" s="15" t="n">
        <v>1</v>
      </c>
      <c r="C83" s="14" t="s">
        <v>10</v>
      </c>
      <c r="D83" s="14" t="s">
        <v>170</v>
      </c>
      <c r="E83" s="14" t="s">
        <v>275</v>
      </c>
      <c r="F83" s="17" t="s">
        <v>276</v>
      </c>
      <c r="G83" s="17" t="s">
        <v>277</v>
      </c>
      <c r="H83" s="14" t="s">
        <v>173</v>
      </c>
      <c r="I83" s="16" t="s">
        <v>278</v>
      </c>
    </row>
    <row r="84" customFormat="false" ht="17.15" hidden="false" customHeight="false" outlineLevel="0" collapsed="false">
      <c r="A84" s="14" t="s">
        <v>6</v>
      </c>
      <c r="B84" s="15" t="n">
        <v>1</v>
      </c>
      <c r="C84" s="14" t="s">
        <v>10</v>
      </c>
      <c r="D84" s="14" t="s">
        <v>170</v>
      </c>
      <c r="E84" s="14" t="s">
        <v>279</v>
      </c>
      <c r="F84" s="17" t="s">
        <v>280</v>
      </c>
      <c r="G84" s="17" t="s">
        <v>281</v>
      </c>
      <c r="H84" s="14" t="s">
        <v>173</v>
      </c>
      <c r="I84" s="16"/>
    </row>
    <row r="85" customFormat="false" ht="17.15" hidden="false" customHeight="false" outlineLevel="0" collapsed="false">
      <c r="A85" s="14" t="s">
        <v>6</v>
      </c>
      <c r="B85" s="15" t="n">
        <v>1</v>
      </c>
      <c r="C85" s="14" t="s">
        <v>10</v>
      </c>
      <c r="D85" s="14" t="s">
        <v>170</v>
      </c>
      <c r="E85" s="14" t="s">
        <v>282</v>
      </c>
      <c r="F85" s="17" t="s">
        <v>283</v>
      </c>
      <c r="G85" s="17" t="s">
        <v>284</v>
      </c>
      <c r="H85" s="14" t="s">
        <v>173</v>
      </c>
      <c r="I85" s="16"/>
    </row>
    <row r="86" customFormat="false" ht="17.15" hidden="false" customHeight="false" outlineLevel="0" collapsed="false">
      <c r="A86" s="14" t="s">
        <v>6</v>
      </c>
      <c r="B86" s="15" t="n">
        <v>2</v>
      </c>
      <c r="C86" s="14" t="s">
        <v>14</v>
      </c>
      <c r="D86" s="14" t="s">
        <v>170</v>
      </c>
      <c r="E86" s="14" t="s">
        <v>285</v>
      </c>
      <c r="F86" s="17" t="s">
        <v>286</v>
      </c>
      <c r="G86" s="17" t="s">
        <v>287</v>
      </c>
      <c r="H86" s="14" t="s">
        <v>173</v>
      </c>
      <c r="I86" s="14" t="s">
        <v>288</v>
      </c>
    </row>
    <row r="87" customFormat="false" ht="17.15" hidden="false" customHeight="false" outlineLevel="0" collapsed="false">
      <c r="A87" s="14" t="s">
        <v>6</v>
      </c>
      <c r="B87" s="15" t="n">
        <v>2</v>
      </c>
      <c r="C87" s="14" t="s">
        <v>14</v>
      </c>
      <c r="D87" s="14" t="s">
        <v>170</v>
      </c>
      <c r="E87" s="16" t="s">
        <v>289</v>
      </c>
      <c r="F87" s="17" t="s">
        <v>290</v>
      </c>
      <c r="G87" s="17" t="s">
        <v>291</v>
      </c>
      <c r="H87" s="14" t="s">
        <v>173</v>
      </c>
      <c r="I87" s="14" t="s">
        <v>292</v>
      </c>
    </row>
    <row r="88" customFormat="false" ht="17.15" hidden="false" customHeight="false" outlineLevel="0" collapsed="false">
      <c r="A88" s="14" t="s">
        <v>6</v>
      </c>
      <c r="B88" s="15" t="n">
        <v>3</v>
      </c>
      <c r="C88" s="14" t="s">
        <v>18</v>
      </c>
      <c r="D88" s="14" t="s">
        <v>170</v>
      </c>
      <c r="E88" s="14" t="s">
        <v>21</v>
      </c>
      <c r="F88" s="17" t="s">
        <v>293</v>
      </c>
      <c r="G88" s="17" t="s">
        <v>294</v>
      </c>
      <c r="H88" s="14" t="s">
        <v>173</v>
      </c>
      <c r="I88" s="14" t="s">
        <v>295</v>
      </c>
    </row>
    <row r="89" customFormat="false" ht="17.15" hidden="false" customHeight="false" outlineLevel="0" collapsed="false">
      <c r="A89" s="14" t="s">
        <v>6</v>
      </c>
      <c r="B89" s="15" t="n">
        <v>4</v>
      </c>
      <c r="C89" s="14" t="s">
        <v>22</v>
      </c>
      <c r="D89" s="14" t="s">
        <v>170</v>
      </c>
      <c r="E89" s="14" t="s">
        <v>25</v>
      </c>
      <c r="F89" s="17" t="s">
        <v>296</v>
      </c>
      <c r="G89" s="17" t="s">
        <v>297</v>
      </c>
      <c r="H89" s="14" t="s">
        <v>173</v>
      </c>
      <c r="I89" s="14" t="s">
        <v>298</v>
      </c>
    </row>
    <row r="90" customFormat="false" ht="17.15" hidden="false" customHeight="false" outlineLevel="0" collapsed="false">
      <c r="A90" s="14" t="s">
        <v>6</v>
      </c>
      <c r="B90" s="15" t="n">
        <v>5</v>
      </c>
      <c r="C90" s="14" t="s">
        <v>26</v>
      </c>
      <c r="D90" s="14" t="s">
        <v>170</v>
      </c>
      <c r="E90" s="16" t="s">
        <v>29</v>
      </c>
      <c r="F90" s="17" t="s">
        <v>299</v>
      </c>
      <c r="G90" s="17" t="s">
        <v>300</v>
      </c>
      <c r="H90" s="14" t="s">
        <v>173</v>
      </c>
      <c r="I90" s="16" t="s">
        <v>301</v>
      </c>
    </row>
    <row r="91" customFormat="false" ht="17.15" hidden="false" customHeight="false" outlineLevel="0" collapsed="false">
      <c r="A91" s="14" t="s">
        <v>6</v>
      </c>
      <c r="B91" s="15" t="n">
        <v>6</v>
      </c>
      <c r="C91" s="14" t="s">
        <v>30</v>
      </c>
      <c r="D91" s="14" t="s">
        <v>170</v>
      </c>
      <c r="E91" s="14" t="s">
        <v>33</v>
      </c>
      <c r="F91" s="17" t="s">
        <v>302</v>
      </c>
      <c r="G91" s="17" t="s">
        <v>303</v>
      </c>
      <c r="H91" s="14" t="s">
        <v>173</v>
      </c>
      <c r="I91" s="14" t="s">
        <v>304</v>
      </c>
    </row>
    <row r="92" customFormat="false" ht="17.15" hidden="false" customHeight="false" outlineLevel="0" collapsed="false">
      <c r="A92" s="14" t="s">
        <v>6</v>
      </c>
      <c r="B92" s="15" t="n">
        <v>7</v>
      </c>
      <c r="C92" s="14" t="s">
        <v>34</v>
      </c>
      <c r="D92" s="14" t="s">
        <v>170</v>
      </c>
      <c r="E92" s="14" t="s">
        <v>37</v>
      </c>
      <c r="F92" s="17" t="s">
        <v>305</v>
      </c>
      <c r="G92" s="17" t="s">
        <v>306</v>
      </c>
      <c r="H92" s="14" t="s">
        <v>173</v>
      </c>
      <c r="I92" s="16" t="s">
        <v>307</v>
      </c>
    </row>
  </sheetData>
  <autoFilter ref="A1:I92"/>
  <conditionalFormatting sqref="A2:I92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$H2="신규"</formula>
    </cfRule>
    <cfRule type="expression" priority="5" aboveAverage="0" equalAverage="0" bottom="0" percent="0" rank="0" text="" dxfId="10">
      <formula>$H2="탭 밖 이동"</formula>
    </cfRule>
  </conditionalFormatting>
  <dataValidations count="1">
    <dataValidation allowBlank="false" errorStyle="stop" operator="between" showDropDown="false" showErrorMessage="false" showInputMessage="false" sqref="H2:H92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2026-10-15T05:48:30Z</dcterms:created>
  <dc:creator>openpyxl</dc:creator>
  <dc:description/>
  <dc:language>en-US</dc:language>
  <cp:lastModifiedBy/>
  <dcterms:modified xsi:type="dcterms:W3CDTF">2026-10-15T05:48:30Z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