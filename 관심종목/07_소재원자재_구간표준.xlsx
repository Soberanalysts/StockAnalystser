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<sst xmlns="http://schemas.openxmlformats.org/spreadsheetml/2006/main" count="568" uniqueCount="251">
  <si>
    <r>
      <rPr>
        <b val="true"/>
        <sz val="14"/>
        <rFont val="Arial"/>
        <family val="0"/>
        <charset val="1"/>
      </rPr>
      <t xml:space="preserve">07 </t>
    </r>
    <r>
      <rPr>
        <b val="true"/>
        <sz val="14"/>
        <rFont val="Noto Sans CJK SC"/>
        <family val="2"/>
      </rPr>
      <t xml:space="preserve">소재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원자재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</si>
  <si>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</si>
  <si>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</si>
  <si>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</si>
  <si>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</si>
  <si>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</si>
  <si>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</si>
  <si>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</si>
  <si>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</si>
  <si>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</si>
  <si>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철강</t>
  </si>
  <si>
    <r>
      <rPr>
        <sz val="11"/>
        <rFont val="Noto Sans CJK SC"/>
        <family val="2"/>
      </rPr>
      <t xml:space="preserve">한국철강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현대제철</t>
    </r>
    <r>
      <rPr>
        <sz val="11"/>
        <rFont val="Arial"/>
        <family val="0"/>
        <charset val="1"/>
      </rPr>
      <t xml:space="preserve">, POSCO</t>
    </r>
    <r>
      <rPr>
        <sz val="11"/>
        <rFont val="Noto Sans CJK SC"/>
        <family val="2"/>
      </rPr>
      <t xml:space="preserve">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동국제강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대한제강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고려제강</t>
    </r>
  </si>
  <si>
    <t xml:space="preserve">–</t>
  </si>
  <si>
    <r>
      <rPr>
        <sz val="11"/>
        <rFont val="Noto Sans CJK SC"/>
        <family val="2"/>
      </rPr>
      <t xml:space="preserve">일본제철</t>
    </r>
    <r>
      <rPr>
        <sz val="11"/>
        <rFont val="Arial"/>
        <family val="0"/>
        <charset val="1"/>
      </rPr>
      <t xml:space="preserve">, JFE</t>
    </r>
    <r>
      <rPr>
        <sz val="11"/>
        <rFont val="Noto Sans CJK SC"/>
        <family val="2"/>
      </rPr>
      <t xml:space="preserve">홀딩스</t>
    </r>
  </si>
  <si>
    <t xml:space="preserve">철강 중소</t>
  </si>
  <si>
    <r>
      <rPr>
        <sz val="11"/>
        <rFont val="Noto Sans CJK SC"/>
        <family val="2"/>
      </rPr>
      <t xml:space="preserve">넥스틸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하이스틸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금강철강</t>
    </r>
    <r>
      <rPr>
        <sz val="11"/>
        <rFont val="Arial"/>
        <family val="0"/>
        <charset val="1"/>
      </rPr>
      <t xml:space="preserve">, KG</t>
    </r>
    <r>
      <rPr>
        <sz val="11"/>
        <rFont val="Noto Sans CJK SC"/>
        <family val="2"/>
      </rPr>
      <t xml:space="preserve">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에이치브이엠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대동스틸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부국철강</t>
    </r>
  </si>
  <si>
    <t xml:space="preserve">비철 귀금속</t>
  </si>
  <si>
    <r>
      <rPr>
        <sz val="11"/>
        <rFont val="Noto Sans CJK SC"/>
        <family val="2"/>
      </rPr>
      <t xml:space="preserve">덕산하이메탈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영풍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고려아연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이구산업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대창</t>
    </r>
  </si>
  <si>
    <r>
      <rPr>
        <sz val="11"/>
        <rFont val="Noto Sans CJK SC"/>
        <family val="2"/>
      </rPr>
      <t xml:space="preserve">프리포트 맥모란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서던 코퍼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뉴몬트</t>
    </r>
  </si>
  <si>
    <r>
      <rPr>
        <sz val="11"/>
        <rFont val="Arial"/>
        <family val="0"/>
        <charset val="1"/>
      </rPr>
      <t xml:space="preserve">WISDOMTREE COPPER, MITSUBISHI JAPAN PHYSICAL GOLD, MITSUBISHI JAPAN PHYSICAL SILVER, </t>
    </r>
    <r>
      <rPr>
        <sz val="11"/>
        <rFont val="Noto Sans CJK SC"/>
        <family val="2"/>
      </rPr>
      <t xml:space="preserve">스미토모금속광산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미쓰비시머티리얼</t>
    </r>
  </si>
  <si>
    <t xml:space="preserve">희토류 전략광물</t>
  </si>
  <si>
    <r>
      <rPr>
        <sz val="11"/>
        <rFont val="Noto Sans CJK SC"/>
        <family val="2"/>
      </rPr>
      <t xml:space="preserve">유니온머티리얼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유니온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동국알앤에스</t>
    </r>
  </si>
  <si>
    <r>
      <rPr>
        <sz val="11"/>
        <rFont val="Arial"/>
        <family val="0"/>
        <charset val="1"/>
      </rPr>
      <t xml:space="preserve">MP </t>
    </r>
    <r>
      <rPr>
        <sz val="11"/>
        <rFont val="Noto Sans CJK SC"/>
        <family val="2"/>
      </rPr>
      <t xml:space="preserve">머티리얼스</t>
    </r>
    <r>
      <rPr>
        <sz val="11"/>
        <rFont val="Arial"/>
        <family val="0"/>
        <charset val="1"/>
      </rPr>
      <t xml:space="preserve">, USA </t>
    </r>
    <r>
      <rPr>
        <sz val="11"/>
        <rFont val="Noto Sans CJK SC"/>
        <family val="2"/>
      </rPr>
      <t xml:space="preserve">레어 어스</t>
    </r>
  </si>
  <si>
    <r>
      <rPr>
        <sz val="11"/>
        <rFont val="Arial"/>
        <family val="0"/>
        <charset val="1"/>
      </rPr>
      <t xml:space="preserve">GLOBAL X URANIUM, </t>
    </r>
    <r>
      <rPr>
        <sz val="11"/>
        <rFont val="Noto Sans CJK SC"/>
        <family val="2"/>
      </rPr>
      <t xml:space="preserve">소지쓰</t>
    </r>
  </si>
  <si>
    <t xml:space="preserve">비료 요소수</t>
  </si>
  <si>
    <r>
      <rPr>
        <sz val="11"/>
        <rFont val="Noto Sans CJK SC"/>
        <family val="2"/>
      </rPr>
      <t xml:space="preserve">조비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남해화학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롯데정밀화학</t>
    </r>
    <r>
      <rPr>
        <sz val="11"/>
        <rFont val="Arial"/>
        <family val="0"/>
        <charset val="1"/>
      </rPr>
      <t xml:space="preserve">, KG</t>
    </r>
    <r>
      <rPr>
        <sz val="11"/>
        <rFont val="Noto Sans CJK SC"/>
        <family val="2"/>
      </rPr>
      <t xml:space="preserve">케미칼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한일사료</t>
    </r>
    <r>
      <rPr>
        <sz val="11"/>
        <rFont val="Arial"/>
        <family val="0"/>
        <charset val="1"/>
      </rPr>
      <t xml:space="preserve">, TKG</t>
    </r>
    <r>
      <rPr>
        <sz val="11"/>
        <rFont val="Noto Sans CJK SC"/>
        <family val="2"/>
      </rPr>
      <t xml:space="preserve">휴켐스</t>
    </r>
  </si>
  <si>
    <r>
      <rPr>
        <sz val="11"/>
        <rFont val="Arial"/>
        <family val="0"/>
        <charset val="1"/>
      </rPr>
      <t xml:space="preserve">CF </t>
    </r>
    <r>
      <rPr>
        <sz val="11"/>
        <rFont val="Noto Sans CJK SC"/>
        <family val="2"/>
      </rPr>
      <t xml:space="preserve">인더스트리스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모자이크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뉴트리엔</t>
    </r>
  </si>
  <si>
    <t xml:space="preserve">석유화학</t>
  </si>
  <si>
    <r>
      <rPr>
        <sz val="11"/>
        <rFont val="Noto Sans CJK SC"/>
        <family val="2"/>
      </rPr>
      <t xml:space="preserve">송원산업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롯데케미칼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금호석유화학</t>
    </r>
  </si>
  <si>
    <r>
      <rPr>
        <sz val="11"/>
        <rFont val="Noto Sans CJK SC"/>
        <family val="2"/>
      </rPr>
      <t xml:space="preserve">다우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라이온델바젤 인더스트리스</t>
    </r>
  </si>
  <si>
    <t xml:space="preserve">미쓰비시케미컬그룹</t>
  </si>
  <si>
    <t xml:space="preserve">고무 타이어</t>
  </si>
  <si>
    <r>
      <rPr>
        <sz val="11"/>
        <rFont val="Noto Sans CJK SC"/>
        <family val="2"/>
      </rPr>
      <t xml:space="preserve">한국타이어앤테크놀로지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넥센타이어</t>
    </r>
  </si>
  <si>
    <t xml:space="preserve">굿이어 타이어 앤드 러버</t>
  </si>
  <si>
    <r>
      <rPr>
        <sz val="11"/>
        <rFont val="Noto Sans CJK SC"/>
        <family val="2"/>
      </rPr>
      <t xml:space="preserve">니시카와고무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브릿지스톤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요코하마 고무</t>
    </r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</si>
  <si>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</si>
  <si>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</si>
  <si>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</si>
  <si>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</si>
  <si>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</si>
  <si>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</si>
  <si>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비료</t>
    </r>
  </si>
  <si>
    <t xml:space="preserve">조비</t>
  </si>
  <si>
    <r>
      <rPr>
        <sz val="11"/>
        <rFont val="Arial"/>
        <family val="0"/>
        <charset val="1"/>
      </rPr>
      <t xml:space="preserve">07 </t>
    </r>
    <r>
      <rPr>
        <sz val="11"/>
        <rFont val="Noto Sans CJK SC"/>
        <family val="2"/>
      </rPr>
      <t xml:space="preserve">소재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비료 요소수</t>
    </r>
  </si>
  <si>
    <t xml:space="preserve">남해화학</t>
  </si>
  <si>
    <t xml:space="preserve">롯데정밀화학</t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</si>
  <si>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케미칼</t>
    </r>
  </si>
  <si>
    <t xml:space="preserve">한일사료</t>
  </si>
  <si>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리튬</t>
    </r>
  </si>
  <si>
    <t xml:space="preserve">후성</t>
  </si>
  <si>
    <r>
      <rPr>
        <sz val="11"/>
        <rFont val="Arial"/>
        <family val="0"/>
        <charset val="1"/>
      </rPr>
      <t xml:space="preserve">(01-2 </t>
    </r>
    <r>
      <rPr>
        <sz val="11"/>
        <rFont val="Noto Sans CJK SC"/>
        <family val="2"/>
      </rPr>
      <t xml:space="preserve">반도체</t>
    </r>
    <r>
      <rPr>
        <sz val="11"/>
        <rFont val="Arial"/>
        <family val="0"/>
        <charset val="1"/>
      </rPr>
      <t xml:space="preserve">)</t>
    </r>
  </si>
  <si>
    <t xml:space="preserve">미래나노텍</t>
  </si>
  <si>
    <r>
      <rPr>
        <sz val="11"/>
        <rFont val="Arial"/>
        <family val="0"/>
        <charset val="1"/>
      </rPr>
      <t xml:space="preserve">(06 2</t>
    </r>
    <r>
      <rPr>
        <sz val="11"/>
        <rFont val="Noto Sans CJK SC"/>
        <family val="2"/>
      </rPr>
      <t xml:space="preserve">차전지로</t>
    </r>
    <r>
      <rPr>
        <sz val="11"/>
        <rFont val="Arial"/>
        <family val="0"/>
        <charset val="1"/>
      </rPr>
      <t xml:space="preserve">)</t>
    </r>
  </si>
  <si>
    <t xml:space="preserve">엔켐</t>
  </si>
  <si>
    <t xml:space="preserve">현대무벡스</t>
  </si>
  <si>
    <r>
      <rPr>
        <sz val="11"/>
        <rFont val="Arial"/>
        <family val="0"/>
        <charset val="1"/>
      </rPr>
      <t xml:space="preserve">(05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</si>
  <si>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일본 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석유</t>
    </r>
  </si>
  <si>
    <t xml:space="preserve">JAPEX</t>
  </si>
  <si>
    <r>
      <rPr>
        <sz val="11"/>
        <rFont val="Arial"/>
        <family val="0"/>
        <charset val="1"/>
      </rPr>
      <t xml:space="preserve">(03 </t>
    </r>
    <r>
      <rPr>
        <sz val="11"/>
        <rFont val="Noto Sans CJK SC"/>
        <family val="2"/>
      </rPr>
      <t xml:space="preserve">에너지로 이동</t>
    </r>
    <r>
      <rPr>
        <sz val="11"/>
        <rFont val="Arial"/>
        <family val="0"/>
        <charset val="1"/>
      </rPr>
      <t xml:space="preserve">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</si>
  <si>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</si>
  <si>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</si>
  <si>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</si>
  <si>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</si>
  <si>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</si>
  <si>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</si>
  <si>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철강</t>
    </r>
  </si>
  <si>
    <t xml:space="preserve">한국철강</t>
  </si>
  <si>
    <t xml:space="preserve">104700</t>
  </si>
  <si>
    <t xml:space="preserve">유지</t>
  </si>
  <si>
    <t xml:space="preserve">현대제철</t>
  </si>
  <si>
    <t xml:space="preserve">004020</t>
  </si>
  <si>
    <r>
      <rPr>
        <sz val="11"/>
        <rFont val="Arial"/>
        <family val="0"/>
        <charset val="1"/>
      </rPr>
      <t xml:space="preserve">POSCO</t>
    </r>
    <r>
      <rPr>
        <sz val="11"/>
        <rFont val="Noto Sans CJK SC"/>
        <family val="2"/>
      </rPr>
      <t xml:space="preserve">홀딩스</t>
    </r>
  </si>
  <si>
    <t xml:space="preserve">005490</t>
  </si>
  <si>
    <t xml:space="preserve">동국제강</t>
  </si>
  <si>
    <t xml:space="preserve">460860</t>
  </si>
  <si>
    <t xml:space="preserve">대한제강</t>
  </si>
  <si>
    <t xml:space="preserve">084010</t>
  </si>
  <si>
    <t xml:space="preserve">고려제강</t>
  </si>
  <si>
    <t xml:space="preserve">002240</t>
  </si>
  <si>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중소</t>
    </r>
    <r>
      <rPr>
        <sz val="11"/>
        <rFont val="Arial"/>
        <family val="0"/>
        <charset val="1"/>
      </rPr>
      <t xml:space="preserve">)</t>
    </r>
  </si>
  <si>
    <t xml:space="preserve">넥스틸</t>
  </si>
  <si>
    <t xml:space="preserve">092790</t>
  </si>
  <si>
    <t xml:space="preserve">하이스틸</t>
  </si>
  <si>
    <t xml:space="preserve">071090</t>
  </si>
  <si>
    <t xml:space="preserve">휴스틸</t>
  </si>
  <si>
    <t xml:space="preserve">005010</t>
  </si>
  <si>
    <t xml:space="preserve">금강철강</t>
  </si>
  <si>
    <t xml:space="preserve">053260</t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</si>
  <si>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스틸</t>
    </r>
  </si>
  <si>
    <t xml:space="preserve">016380</t>
  </si>
  <si>
    <t xml:space="preserve">에이치브이엠</t>
  </si>
  <si>
    <t xml:space="preserve">295310</t>
  </si>
  <si>
    <r>
      <rPr>
        <sz val="11"/>
        <rFont val="Noto Sans CJK SC"/>
        <family val="2"/>
      </rPr>
      <t xml:space="preserve">특수합금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방산 탭과 중복</t>
    </r>
  </si>
  <si>
    <t xml:space="preserve">대동스틸</t>
  </si>
  <si>
    <t xml:space="preserve">048470</t>
  </si>
  <si>
    <t xml:space="preserve">부국철강</t>
  </si>
  <si>
    <t xml:space="preserve">026940</t>
  </si>
  <si>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광물</t>
    </r>
  </si>
  <si>
    <t xml:space="preserve">덕산하이메탈</t>
  </si>
  <si>
    <t xml:space="preserve">077360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</si>
  <si>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솔더볼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반도체 소재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업체</t>
    </r>
  </si>
  <si>
    <t xml:space="preserve">영풍</t>
  </si>
  <si>
    <t xml:space="preserve">000670</t>
  </si>
  <si>
    <t xml:space="preserve">아연 제련</t>
  </si>
  <si>
    <t xml:space="preserve">고려아연</t>
  </si>
  <si>
    <t xml:space="preserve">010130</t>
  </si>
  <si>
    <r>
      <rPr>
        <sz val="11"/>
        <rFont val="Noto Sans CJK SC"/>
        <family val="2"/>
      </rPr>
      <t xml:space="preserve">아연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은 제련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희토류 테마도 같이 움직임</t>
    </r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</si>
  <si>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</si>
  <si>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이구산업</t>
  </si>
  <si>
    <t xml:space="preserve">025820</t>
  </si>
  <si>
    <t xml:space="preserve">신규</t>
  </si>
  <si>
    <r>
      <rPr>
        <sz val="11"/>
        <rFont val="Noto Sans CJK SC"/>
        <family val="2"/>
      </rPr>
      <t xml:space="preserve">구리 가공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프리포트 맥모란 짝</t>
    </r>
  </si>
  <si>
    <t xml:space="preserve">대창</t>
  </si>
  <si>
    <t xml:space="preserve">012800</t>
  </si>
  <si>
    <t xml:space="preserve">구리 가공</t>
  </si>
  <si>
    <t xml:space="preserve">유니온머티리얼</t>
  </si>
  <si>
    <t xml:space="preserve">047400</t>
  </si>
  <si>
    <r>
      <rPr>
        <sz val="11"/>
        <rFont val="Noto Sans CJK SC"/>
        <family val="2"/>
      </rPr>
      <t xml:space="preserve">희토류 영구자석</t>
    </r>
    <r>
      <rPr>
        <sz val="11"/>
        <rFont val="Arial"/>
        <family val="0"/>
        <charset val="1"/>
      </rPr>
      <t xml:space="preserve">, MP </t>
    </r>
    <r>
      <rPr>
        <sz val="11"/>
        <rFont val="Noto Sans CJK SC"/>
        <family val="2"/>
      </rPr>
      <t xml:space="preserve">머티리얼스 짝</t>
    </r>
  </si>
  <si>
    <t xml:space="preserve">유니온</t>
  </si>
  <si>
    <t xml:space="preserve">000910</t>
  </si>
  <si>
    <t xml:space="preserve">유니온머티리얼 모회사</t>
  </si>
  <si>
    <t xml:space="preserve">동국알앤에스</t>
  </si>
  <si>
    <t xml:space="preserve">075970</t>
  </si>
  <si>
    <t xml:space="preserve">희토류 테마</t>
  </si>
  <si>
    <t xml:space="preserve">001550</t>
  </si>
  <si>
    <t xml:space="preserve">추가</t>
  </si>
  <si>
    <t xml:space="preserve">주요테마 탭 비료에서 이동</t>
  </si>
  <si>
    <t xml:space="preserve">025860</t>
  </si>
  <si>
    <t xml:space="preserve">004000</t>
  </si>
  <si>
    <r>
      <rPr>
        <sz val="11"/>
        <rFont val="Noto Sans CJK SC"/>
        <family val="2"/>
      </rPr>
      <t xml:space="preserve">주요테마 탭 비료에서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요소 생산</t>
    </r>
  </si>
  <si>
    <t xml:space="preserve">001390</t>
  </si>
  <si>
    <r>
      <rPr>
        <sz val="11"/>
        <rFont val="Noto Sans CJK SC"/>
        <family val="2"/>
      </rPr>
      <t xml:space="preserve">주요테마 탭 비료에서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요소수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유록스</t>
    </r>
    <r>
      <rPr>
        <sz val="11"/>
        <rFont val="Arial"/>
        <family val="0"/>
        <charset val="1"/>
      </rPr>
      <t xml:space="preserve">)</t>
    </r>
  </si>
  <si>
    <t xml:space="preserve">005860</t>
  </si>
  <si>
    <r>
      <rPr>
        <sz val="11"/>
        <rFont val="Arial"/>
        <family val="0"/>
        <charset val="1"/>
      </rPr>
      <t xml:space="preserve">TKG</t>
    </r>
    <r>
      <rPr>
        <sz val="11"/>
        <rFont val="Noto Sans CJK SC"/>
        <family val="2"/>
      </rPr>
      <t xml:space="preserve">휴켐스</t>
    </r>
  </si>
  <si>
    <t xml:space="preserve">069260</t>
  </si>
  <si>
    <r>
      <rPr>
        <sz val="11"/>
        <rFont val="Noto Sans CJK SC"/>
        <family val="2"/>
      </rPr>
      <t xml:space="preserve">요소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질산 생산</t>
    </r>
    <r>
      <rPr>
        <sz val="11"/>
        <rFont val="Arial"/>
        <family val="0"/>
        <charset val="1"/>
      </rPr>
      <t xml:space="preserve">, CF </t>
    </r>
    <r>
      <rPr>
        <sz val="11"/>
        <rFont val="Noto Sans CJK SC"/>
        <family val="2"/>
      </rPr>
      <t xml:space="preserve">인더스트리스 짝</t>
    </r>
  </si>
  <si>
    <r>
      <rPr>
        <sz val="11"/>
        <rFont val="Noto Sans CJK SC"/>
        <family val="2"/>
      </rPr>
      <t xml:space="preserve">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화학</t>
    </r>
  </si>
  <si>
    <t xml:space="preserve">송원산업</t>
  </si>
  <si>
    <t xml:space="preserve">004430</t>
  </si>
  <si>
    <t xml:space="preserve">플라스틱 첨가제</t>
  </si>
  <si>
    <t xml:space="preserve">롯데케미칼</t>
  </si>
  <si>
    <t xml:space="preserve">011170</t>
  </si>
  <si>
    <r>
      <rPr>
        <sz val="11"/>
        <rFont val="Noto Sans CJK SC"/>
        <family val="2"/>
      </rPr>
      <t xml:space="preserve">다우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라이온델바젤 짝</t>
    </r>
  </si>
  <si>
    <t xml:space="preserve">금호석유화학</t>
  </si>
  <si>
    <t xml:space="preserve">011780</t>
  </si>
  <si>
    <r>
      <rPr>
        <sz val="11"/>
        <rFont val="Noto Sans CJK SC"/>
        <family val="2"/>
      </rPr>
      <t xml:space="preserve">합성고무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타이어 원료</t>
    </r>
    <r>
      <rPr>
        <sz val="11"/>
        <rFont val="Arial"/>
        <family val="0"/>
        <charset val="1"/>
      </rPr>
      <t xml:space="preserve">)</t>
    </r>
  </si>
  <si>
    <t xml:space="preserve">한국타이어앤테크놀로지</t>
  </si>
  <si>
    <t xml:space="preserve">161390</t>
  </si>
  <si>
    <r>
      <rPr>
        <sz val="11"/>
        <rFont val="Noto Sans CJK SC"/>
        <family val="2"/>
      </rPr>
      <t xml:space="preserve">굿이어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브릿지스톤 짝</t>
    </r>
  </si>
  <si>
    <t xml:space="preserve">넥센타이어</t>
  </si>
  <si>
    <t xml:space="preserve">002350</t>
  </si>
  <si>
    <t xml:space="preserve">093370</t>
  </si>
  <si>
    <t xml:space="preserve">탭 밖 이동</t>
  </si>
  <si>
    <r>
      <rPr>
        <sz val="11"/>
        <rFont val="Arial"/>
        <family val="0"/>
        <charset val="1"/>
      </rPr>
      <t xml:space="preserve">01-2 </t>
    </r>
    <r>
      <rPr>
        <sz val="11"/>
        <rFont val="Noto Sans CJK SC"/>
        <family val="2"/>
      </rPr>
      <t xml:space="preserve">반도체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불화수소에 있음</t>
    </r>
  </si>
  <si>
    <t xml:space="preserve">095500</t>
  </si>
  <si>
    <r>
      <rPr>
        <sz val="11"/>
        <rFont val="Arial"/>
        <family val="0"/>
        <charset val="1"/>
      </rPr>
      <t xml:space="preserve">06 2</t>
    </r>
    <r>
      <rPr>
        <sz val="11"/>
        <rFont val="Noto Sans CJK SC"/>
        <family val="2"/>
      </rPr>
      <t xml:space="preserve">차전지로 이동 예정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)</t>
    </r>
  </si>
  <si>
    <t xml:space="preserve">348370</t>
  </si>
  <si>
    <r>
      <rPr>
        <sz val="11"/>
        <rFont val="Arial"/>
        <family val="0"/>
        <charset val="1"/>
      </rPr>
      <t xml:space="preserve">06 2</t>
    </r>
    <r>
      <rPr>
        <sz val="11"/>
        <rFont val="Noto Sans CJK SC"/>
        <family val="2"/>
      </rPr>
      <t xml:space="preserve">차전지로 이동 예정</t>
    </r>
  </si>
  <si>
    <t xml:space="preserve">319400</t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</si>
  <si>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자동차로 이동 예정</t>
    </r>
  </si>
  <si>
    <t xml:space="preserve">프리포트 맥모란</t>
  </si>
  <si>
    <t xml:space="preserve">FCX</t>
  </si>
  <si>
    <t xml:space="preserve">NYFCX</t>
  </si>
  <si>
    <r>
      <rPr>
        <sz val="11"/>
        <rFont val="Noto Sans CJK SC"/>
        <family val="2"/>
      </rPr>
      <t xml:space="preserve">구리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이구산업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대창 짝</t>
    </r>
  </si>
  <si>
    <t xml:space="preserve">서던 코퍼</t>
  </si>
  <si>
    <t xml:space="preserve">SCCO</t>
  </si>
  <si>
    <t xml:space="preserve">NYSCCO</t>
  </si>
  <si>
    <t xml:space="preserve">구리</t>
  </si>
  <si>
    <t xml:space="preserve">뉴몬트</t>
  </si>
  <si>
    <t xml:space="preserve">NEM</t>
  </si>
  <si>
    <t xml:space="preserve">NYNEM</t>
  </si>
  <si>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고려아연 짝</t>
    </r>
  </si>
  <si>
    <r>
      <rPr>
        <sz val="11"/>
        <rFont val="Arial"/>
        <family val="0"/>
        <charset val="1"/>
      </rPr>
      <t xml:space="preserve">MP </t>
    </r>
    <r>
      <rPr>
        <sz val="11"/>
        <rFont val="Noto Sans CJK SC"/>
        <family val="2"/>
      </rPr>
      <t xml:space="preserve">머티리얼스</t>
    </r>
  </si>
  <si>
    <t xml:space="preserve">MP</t>
  </si>
  <si>
    <t xml:space="preserve">NYMP</t>
  </si>
  <si>
    <r>
      <rPr>
        <sz val="11"/>
        <rFont val="Noto Sans CJK SC"/>
        <family val="2"/>
      </rPr>
      <t xml:space="preserve">미국 희토류 대표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유니온머티리얼 짝</t>
    </r>
  </si>
  <si>
    <r>
      <rPr>
        <sz val="11"/>
        <rFont val="Arial"/>
        <family val="0"/>
        <charset val="1"/>
      </rPr>
      <t xml:space="preserve">USA </t>
    </r>
    <r>
      <rPr>
        <sz val="11"/>
        <rFont val="Noto Sans CJK SC"/>
        <family val="2"/>
      </rPr>
      <t xml:space="preserve">레어 어스</t>
    </r>
  </si>
  <si>
    <t xml:space="preserve">USAR</t>
  </si>
  <si>
    <t xml:space="preserve">NDUSAR</t>
  </si>
  <si>
    <t xml:space="preserve">희토류 자석</t>
  </si>
  <si>
    <r>
      <rPr>
        <sz val="11"/>
        <rFont val="Arial"/>
        <family val="0"/>
        <charset val="1"/>
      </rPr>
      <t xml:space="preserve">CF </t>
    </r>
    <r>
      <rPr>
        <sz val="11"/>
        <rFont val="Noto Sans CJK SC"/>
        <family val="2"/>
      </rPr>
      <t xml:space="preserve">인더스트리스 홀딩스</t>
    </r>
  </si>
  <si>
    <t xml:space="preserve">CF</t>
  </si>
  <si>
    <t xml:space="preserve">NYCF</t>
  </si>
  <si>
    <r>
      <rPr>
        <sz val="11"/>
        <rFont val="Noto Sans CJK SC"/>
        <family val="2"/>
      </rPr>
      <t xml:space="preserve">요소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암모니아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휴켐스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롯데정밀화학 짝</t>
    </r>
  </si>
  <si>
    <t xml:space="preserve">모자이크</t>
  </si>
  <si>
    <t xml:space="preserve">MOS</t>
  </si>
  <si>
    <t xml:space="preserve">NYMOS</t>
  </si>
  <si>
    <r>
      <rPr>
        <sz val="11"/>
        <rFont val="Noto Sans CJK SC"/>
        <family val="2"/>
      </rPr>
      <t xml:space="preserve">인산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칼륨 비료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남해화학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조비 짝</t>
    </r>
  </si>
  <si>
    <t xml:space="preserve">뉴트리엔</t>
  </si>
  <si>
    <t xml:space="preserve">NTR</t>
  </si>
  <si>
    <t xml:space="preserve">NYNTR</t>
  </si>
  <si>
    <t xml:space="preserve">칼륨 비료</t>
  </si>
  <si>
    <t xml:space="preserve">다우</t>
  </si>
  <si>
    <t xml:space="preserve">DOW</t>
  </si>
  <si>
    <t xml:space="preserve">NYDOW</t>
  </si>
  <si>
    <t xml:space="preserve">롯데케미칼 짝</t>
  </si>
  <si>
    <t xml:space="preserve">라이온델바젤 인더스트리스</t>
  </si>
  <si>
    <t xml:space="preserve">LYB</t>
  </si>
  <si>
    <t xml:space="preserve">NYLYB</t>
  </si>
  <si>
    <t xml:space="preserve">GT</t>
  </si>
  <si>
    <t xml:space="preserve">NDGT</t>
  </si>
  <si>
    <t xml:space="preserve">한국타이어 짝</t>
  </si>
  <si>
    <t xml:space="preserve">일본제철</t>
  </si>
  <si>
    <t xml:space="preserve">05401</t>
  </si>
  <si>
    <t xml:space="preserve">W05401</t>
  </si>
  <si>
    <r>
      <rPr>
        <sz val="11"/>
        <rFont val="Arial"/>
        <family val="0"/>
        <charset val="1"/>
      </rPr>
      <t xml:space="preserve">POSCO</t>
    </r>
    <r>
      <rPr>
        <sz val="11"/>
        <rFont val="Noto Sans CJK SC"/>
        <family val="2"/>
      </rPr>
      <t xml:space="preserve">홀딩스 짝</t>
    </r>
  </si>
  <si>
    <r>
      <rPr>
        <sz val="11"/>
        <rFont val="Arial"/>
        <family val="0"/>
        <charset val="1"/>
      </rPr>
      <t xml:space="preserve">JFE</t>
    </r>
    <r>
      <rPr>
        <sz val="11"/>
        <rFont val="Noto Sans CJK SC"/>
        <family val="2"/>
      </rPr>
      <t xml:space="preserve">홀딩스</t>
    </r>
  </si>
  <si>
    <t xml:space="preserve">05411</t>
  </si>
  <si>
    <t xml:space="preserve">W05411</t>
  </si>
  <si>
    <t xml:space="preserve">현대제철 짝</t>
  </si>
  <si>
    <r>
      <rPr>
        <sz val="11"/>
        <rFont val="Noto Sans CJK SC"/>
        <family val="2"/>
      </rPr>
      <t xml:space="preserve">일본 원자재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</si>
  <si>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WISDOMTREE COPPER</t>
  </si>
  <si>
    <t xml:space="preserve">01693</t>
  </si>
  <si>
    <t xml:space="preserve">W01693</t>
  </si>
  <si>
    <t xml:space="preserve">MITSUBISHI JAPAN PHYSICAL GOLD</t>
  </si>
  <si>
    <t xml:space="preserve">01540</t>
  </si>
  <si>
    <t xml:space="preserve">W01540</t>
  </si>
  <si>
    <t xml:space="preserve">MITSUBISHI JAPAN PHYSICAL SILVER</t>
  </si>
  <si>
    <t xml:space="preserve">01542</t>
  </si>
  <si>
    <t xml:space="preserve">W01542</t>
  </si>
  <si>
    <t xml:space="preserve">스미토모금속광산</t>
  </si>
  <si>
    <t xml:space="preserve">05713</t>
  </si>
  <si>
    <t xml:space="preserve">W05713</t>
  </si>
  <si>
    <r>
      <rPr>
        <sz val="11"/>
        <rFont val="Noto Sans CJK SC"/>
        <family val="2"/>
      </rPr>
      <t xml:space="preserve">구리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니켈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고려아연 짝</t>
    </r>
  </si>
  <si>
    <t xml:space="preserve">미쓰비시머티리얼</t>
  </si>
  <si>
    <t xml:space="preserve">05711</t>
  </si>
  <si>
    <t xml:space="preserve">W05711</t>
  </si>
  <si>
    <t xml:space="preserve">구리 제련</t>
  </si>
  <si>
    <t xml:space="preserve">GLOBAL X URANIUM</t>
  </si>
  <si>
    <t xml:space="preserve">0224A</t>
  </si>
  <si>
    <t xml:space="preserve">W0224A</t>
  </si>
  <si>
    <r>
      <rPr>
        <sz val="11"/>
        <rFont val="Noto Sans CJK SC"/>
        <family val="2"/>
      </rPr>
      <t xml:space="preserve">우라늄 </t>
    </r>
    <r>
      <rPr>
        <sz val="11"/>
        <rFont val="Arial"/>
        <family val="0"/>
        <charset val="1"/>
      </rPr>
      <t xml:space="preserve">ETF (03 </t>
    </r>
    <r>
      <rPr>
        <sz val="11"/>
        <rFont val="Noto Sans CJK SC"/>
        <family val="2"/>
      </rPr>
      <t xml:space="preserve">에너지 원전과 연결</t>
    </r>
    <r>
      <rPr>
        <sz val="11"/>
        <rFont val="Arial"/>
        <family val="0"/>
        <charset val="1"/>
      </rPr>
      <t xml:space="preserve">)</t>
    </r>
  </si>
  <si>
    <t xml:space="preserve">소지쓰</t>
  </si>
  <si>
    <t xml:space="preserve">02768</t>
  </si>
  <si>
    <t xml:space="preserve">W02768</t>
  </si>
  <si>
    <t xml:space="preserve">호주 라이너스 희토류 지분</t>
  </si>
  <si>
    <t xml:space="preserve">04188</t>
  </si>
  <si>
    <t xml:space="preserve">W04188</t>
  </si>
  <si>
    <r>
      <rPr>
        <sz val="11"/>
        <rFont val="Noto Sans CJK SC"/>
        <family val="2"/>
      </rPr>
      <t xml:space="preserve">일본 원자재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고무</t>
    </r>
  </si>
  <si>
    <t xml:space="preserve">니시카와고무</t>
  </si>
  <si>
    <t xml:space="preserve">05161</t>
  </si>
  <si>
    <t xml:space="preserve">W05161</t>
  </si>
  <si>
    <t xml:space="preserve">브릿지스톤</t>
  </si>
  <si>
    <t xml:space="preserve">05108</t>
  </si>
  <si>
    <t xml:space="preserve">W05108</t>
  </si>
  <si>
    <t xml:space="preserve">요코하마 고무</t>
  </si>
  <si>
    <t xml:space="preserve">05101</t>
  </si>
  <si>
    <t xml:space="preserve">W05101</t>
  </si>
  <si>
    <t xml:space="preserve">01662</t>
  </si>
  <si>
    <t xml:space="preserve">W01662</t>
  </si>
  <si>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전력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석유 가스로 이동 완료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</si>
</sst>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4" t="n">
        <f aca="false">COUNTIFS('종목 목록'!$A$2:$A$63,"국장",'종목 목록'!$C$2:$C$63,$B5,'종목 목록'!$H$2:$H$63,"&lt;&gt;탭 밖 이동")</f>
        <v>6</v>
      </c>
      <c r="D5" s="4" t="n">
        <f aca="false">COUNTIFS('종목 목록'!$A$2:$A$63,"미장",'종목 목록'!$C$2:$C$63,$B5,'종목 목록'!$H$2:$H$63,"&lt;&gt;탭 밖 이동")</f>
        <v>0</v>
      </c>
      <c r="E5" s="4" t="n">
        <f aca="false">COUNTIFS('종목 목록'!$A$2:$A$63,"일장",'종목 목록'!$C$2:$C$63,$B5,'종목 목록'!$H$2:$H$63,"&lt;&gt;탭 밖 이동")</f>
        <v>2</v>
      </c>
      <c r="F5" s="6" t="s">
        <v>11</v>
      </c>
      <c r="G5" s="7" t="s">
        <v>12</v>
      </c>
      <c r="H5" s="6" t="s">
        <v>13</v>
      </c>
    </row>
    <row r="6" customFormat="false" ht="32.8" hidden="false" customHeight="false" outlineLevel="0" collapsed="false">
      <c r="A6" s="4" t="n">
        <v>2</v>
      </c>
      <c r="B6" s="5" t="s">
        <v>14</v>
      </c>
      <c r="C6" s="4" t="n">
        <f aca="false">COUNTIFS('종목 목록'!$A$2:$A$63,"국장",'종목 목록'!$C$2:$C$63,$B6,'종목 목록'!$H$2:$H$63,"&lt;&gt;탭 밖 이동")</f>
        <v>8</v>
      </c>
      <c r="D6" s="4" t="n">
        <f aca="false">COUNTIFS('종목 목록'!$A$2:$A$63,"미장",'종목 목록'!$C$2:$C$63,$B6,'종목 목록'!$H$2:$H$63,"&lt;&gt;탭 밖 이동")</f>
        <v>0</v>
      </c>
      <c r="E6" s="4" t="n">
        <f aca="false">COUNTIFS('종목 목록'!$A$2:$A$63,"일장",'종목 목록'!$C$2:$C$63,$B6,'종목 목록'!$H$2:$H$63,"&lt;&gt;탭 밖 이동")</f>
        <v>0</v>
      </c>
      <c r="F6" s="6" t="s">
        <v>15</v>
      </c>
      <c r="G6" s="7" t="s">
        <v>12</v>
      </c>
      <c r="H6" s="7" t="s">
        <v>12</v>
      </c>
    </row>
    <row r="7" customFormat="false" ht="55.2" hidden="false" customHeight="false" outlineLevel="0" collapsed="false">
      <c r="A7" s="4" t="n">
        <v>3</v>
      </c>
      <c r="B7" s="5" t="s">
        <v>16</v>
      </c>
      <c r="C7" s="4" t="n">
        <f aca="false">COUNTIFS('종목 목록'!$A$2:$A$63,"국장",'종목 목록'!$C$2:$C$63,$B7,'종목 목록'!$H$2:$H$63,"&lt;&gt;탭 밖 이동")</f>
        <v>5</v>
      </c>
      <c r="D7" s="4" t="n">
        <f aca="false">COUNTIFS('종목 목록'!$A$2:$A$63,"미장",'종목 목록'!$C$2:$C$63,$B7,'종목 목록'!$H$2:$H$63,"&lt;&gt;탭 밖 이동")</f>
        <v>3</v>
      </c>
      <c r="E7" s="4" t="n">
        <f aca="false">COUNTIFS('종목 목록'!$A$2:$A$63,"일장",'종목 목록'!$C$2:$C$63,$B7,'종목 목록'!$H$2:$H$63,"&lt;&gt;탭 밖 이동")</f>
        <v>5</v>
      </c>
      <c r="F7" s="6" t="s">
        <v>17</v>
      </c>
      <c r="G7" s="6" t="s">
        <v>18</v>
      </c>
      <c r="H7" s="7" t="s">
        <v>19</v>
      </c>
    </row>
    <row r="8" customFormat="false" ht="17.15" hidden="false" customHeight="false" outlineLevel="0" collapsed="false">
      <c r="A8" s="4" t="n">
        <v>4</v>
      </c>
      <c r="B8" s="5" t="s">
        <v>20</v>
      </c>
      <c r="C8" s="4" t="n">
        <f aca="false">COUNTIFS('종목 목록'!$A$2:$A$63,"국장",'종목 목록'!$C$2:$C$63,$B8,'종목 목록'!$H$2:$H$63,"&lt;&gt;탭 밖 이동")</f>
        <v>3</v>
      </c>
      <c r="D8" s="4" t="n">
        <f aca="false">COUNTIFS('종목 목록'!$A$2:$A$63,"미장",'종목 목록'!$C$2:$C$63,$B8,'종목 목록'!$H$2:$H$63,"&lt;&gt;탭 밖 이동")</f>
        <v>2</v>
      </c>
      <c r="E8" s="4" t="n">
        <f aca="false">COUNTIFS('종목 목록'!$A$2:$A$63,"일장",'종목 목록'!$C$2:$C$63,$B8,'종목 목록'!$H$2:$H$63,"&lt;&gt;탭 밖 이동")</f>
        <v>2</v>
      </c>
      <c r="F8" s="6" t="s">
        <v>21</v>
      </c>
      <c r="G8" s="7" t="s">
        <v>22</v>
      </c>
      <c r="H8" s="7" t="s">
        <v>23</v>
      </c>
    </row>
    <row r="9" customFormat="false" ht="17.15" hidden="false" customHeight="false" outlineLevel="0" collapsed="false">
      <c r="A9" s="4" t="n">
        <v>5</v>
      </c>
      <c r="B9" s="5" t="s">
        <v>24</v>
      </c>
      <c r="C9" s="4" t="n">
        <f aca="false">COUNTIFS('종목 목록'!$A$2:$A$63,"국장",'종목 목록'!$C$2:$C$63,$B9,'종목 목록'!$H$2:$H$63,"&lt;&gt;탭 밖 이동")</f>
        <v>6</v>
      </c>
      <c r="D9" s="4" t="n">
        <f aca="false">COUNTIFS('종목 목록'!$A$2:$A$63,"미장",'종목 목록'!$C$2:$C$63,$B9,'종목 목록'!$H$2:$H$63,"&lt;&gt;탭 밖 이동")</f>
        <v>3</v>
      </c>
      <c r="E9" s="4" t="n">
        <f aca="false">COUNTIFS('종목 목록'!$A$2:$A$63,"일장",'종목 목록'!$C$2:$C$63,$B9,'종목 목록'!$H$2:$H$63,"&lt;&gt;탭 밖 이동")</f>
        <v>0</v>
      </c>
      <c r="F9" s="6" t="s">
        <v>25</v>
      </c>
      <c r="G9" s="7" t="s">
        <v>26</v>
      </c>
      <c r="H9" s="7" t="s">
        <v>12</v>
      </c>
    </row>
    <row r="10" customFormat="false" ht="17.15" hidden="false" customHeight="false" outlineLevel="0" collapsed="false">
      <c r="A10" s="4" t="n">
        <v>6</v>
      </c>
      <c r="B10" s="5" t="s">
        <v>27</v>
      </c>
      <c r="C10" s="4" t="n">
        <f aca="false">COUNTIFS('종목 목록'!$A$2:$A$63,"국장",'종목 목록'!$C$2:$C$63,$B10,'종목 목록'!$H$2:$H$63,"&lt;&gt;탭 밖 이동")</f>
        <v>3</v>
      </c>
      <c r="D10" s="4" t="n">
        <f aca="false">COUNTIFS('종목 목록'!$A$2:$A$63,"미장",'종목 목록'!$C$2:$C$63,$B10,'종목 목록'!$H$2:$H$63,"&lt;&gt;탭 밖 이동")</f>
        <v>2</v>
      </c>
      <c r="E10" s="4" t="n">
        <f aca="false">COUNTIFS('종목 목록'!$A$2:$A$63,"일장",'종목 목록'!$C$2:$C$63,$B10,'종목 목록'!$H$2:$H$63,"&lt;&gt;탭 밖 이동")</f>
        <v>1</v>
      </c>
      <c r="F10" s="6" t="s">
        <v>28</v>
      </c>
      <c r="G10" s="6" t="s">
        <v>29</v>
      </c>
      <c r="H10" s="6" t="s">
        <v>30</v>
      </c>
    </row>
    <row r="11" customFormat="false" ht="17.15" hidden="false" customHeight="false" outlineLevel="0" collapsed="false">
      <c r="A11" s="4" t="n">
        <v>7</v>
      </c>
      <c r="B11" s="5" t="s">
        <v>31</v>
      </c>
      <c r="C11" s="4" t="n">
        <f aca="false">COUNTIFS('종목 목록'!$A$2:$A$63,"국장",'종목 목록'!$C$2:$C$63,$B11,'종목 목록'!$H$2:$H$63,"&lt;&gt;탭 밖 이동")</f>
        <v>2</v>
      </c>
      <c r="D11" s="4" t="n">
        <f aca="false">COUNTIFS('종목 목록'!$A$2:$A$63,"미장",'종목 목록'!$C$2:$C$63,$B11,'종목 목록'!$H$2:$H$63,"&lt;&gt;탭 밖 이동")</f>
        <v>1</v>
      </c>
      <c r="E11" s="4" t="n">
        <f aca="false">COUNTIFS('종목 목록'!$A$2:$A$63,"일장",'종목 목록'!$C$2:$C$63,$B11,'종목 목록'!$H$2:$H$63,"&lt;&gt;탭 밖 이동")</f>
        <v>3</v>
      </c>
      <c r="F11" s="6" t="s">
        <v>32</v>
      </c>
      <c r="G11" s="6" t="s">
        <v>33</v>
      </c>
      <c r="H11" s="6" t="s">
        <v>34</v>
      </c>
    </row>
    <row r="12" customFormat="false" ht="15" hidden="false" customHeight="false" outlineLevel="0" collapsed="false">
      <c r="B12" s="8" t="s">
        <v>35</v>
      </c>
      <c r="C12" s="9" t="n">
        <f aca="false">SUM(C5:C11)</f>
        <v>33</v>
      </c>
      <c r="D12" s="9" t="n">
        <f aca="false">SUM(D5:D11)</f>
        <v>11</v>
      </c>
      <c r="E12" s="9" t="n">
        <f aca="false">SUM(E5:E11)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36</v>
      </c>
    </row>
    <row r="3" customFormat="false" ht="15" hidden="false" customHeight="false" outlineLevel="0" collapsed="false">
      <c r="A3" s="11" t="s">
        <v>37</v>
      </c>
      <c r="B3" s="11" t="s">
        <v>38</v>
      </c>
      <c r="C3" s="11" t="s">
        <v>39</v>
      </c>
      <c r="D3" s="11" t="s">
        <v>40</v>
      </c>
    </row>
    <row r="4" customFormat="false" ht="17.15" hidden="false" customHeight="false" outlineLevel="0" collapsed="false">
      <c r="A4" s="12" t="s">
        <v>4</v>
      </c>
      <c r="B4" s="12" t="s">
        <v>41</v>
      </c>
      <c r="C4" s="12" t="s">
        <v>42</v>
      </c>
      <c r="D4" s="13" t="s">
        <v>43</v>
      </c>
    </row>
    <row r="5" customFormat="false" ht="17.15" hidden="false" customHeight="false" outlineLevel="0" collapsed="false">
      <c r="A5" s="12" t="s">
        <v>4</v>
      </c>
      <c r="B5" s="12" t="s">
        <v>41</v>
      </c>
      <c r="C5" s="12" t="s">
        <v>44</v>
      </c>
      <c r="D5" s="13" t="s">
        <v>43</v>
      </c>
    </row>
    <row r="6" customFormat="false" ht="17.15" hidden="false" customHeight="false" outlineLevel="0" collapsed="false">
      <c r="A6" s="12" t="s">
        <v>4</v>
      </c>
      <c r="B6" s="12" t="s">
        <v>41</v>
      </c>
      <c r="C6" s="12" t="s">
        <v>45</v>
      </c>
      <c r="D6" s="13" t="s">
        <v>43</v>
      </c>
    </row>
    <row r="7" customFormat="false" ht="17.15" hidden="false" customHeight="false" outlineLevel="0" collapsed="false">
      <c r="A7" s="12" t="s">
        <v>4</v>
      </c>
      <c r="B7" s="12" t="s">
        <v>41</v>
      </c>
      <c r="C7" s="13" t="s">
        <v>46</v>
      </c>
      <c r="D7" s="13" t="s">
        <v>43</v>
      </c>
    </row>
    <row r="8" customFormat="false" ht="17.15" hidden="false" customHeight="false" outlineLevel="0" collapsed="false">
      <c r="A8" s="12" t="s">
        <v>4</v>
      </c>
      <c r="B8" s="12" t="s">
        <v>41</v>
      </c>
      <c r="C8" s="12" t="s">
        <v>47</v>
      </c>
      <c r="D8" s="13" t="s">
        <v>43</v>
      </c>
    </row>
    <row r="9" customFormat="false" ht="17.15" hidden="false" customHeight="false" outlineLevel="0" collapsed="false">
      <c r="A9" s="12" t="s">
        <v>4</v>
      </c>
      <c r="B9" s="12" t="s">
        <v>48</v>
      </c>
      <c r="C9" s="12" t="s">
        <v>49</v>
      </c>
      <c r="D9" s="13" t="s">
        <v>50</v>
      </c>
    </row>
    <row r="10" customFormat="false" ht="17.15" hidden="false" customHeight="false" outlineLevel="0" collapsed="false">
      <c r="A10" s="12" t="s">
        <v>4</v>
      </c>
      <c r="B10" s="12" t="s">
        <v>48</v>
      </c>
      <c r="C10" s="12" t="s">
        <v>51</v>
      </c>
      <c r="D10" s="13" t="s">
        <v>52</v>
      </c>
    </row>
    <row r="11" customFormat="false" ht="17.15" hidden="false" customHeight="false" outlineLevel="0" collapsed="false">
      <c r="A11" s="12" t="s">
        <v>4</v>
      </c>
      <c r="B11" s="12" t="s">
        <v>48</v>
      </c>
      <c r="C11" s="12" t="s">
        <v>53</v>
      </c>
      <c r="D11" s="13" t="s">
        <v>52</v>
      </c>
    </row>
    <row r="12" customFormat="false" ht="17.15" hidden="false" customHeight="false" outlineLevel="0" collapsed="false">
      <c r="A12" s="12" t="s">
        <v>4</v>
      </c>
      <c r="B12" s="12" t="s">
        <v>48</v>
      </c>
      <c r="C12" s="12" t="s">
        <v>54</v>
      </c>
      <c r="D12" s="13" t="s">
        <v>55</v>
      </c>
    </row>
    <row r="13" customFormat="false" ht="17.15" hidden="false" customHeight="false" outlineLevel="0" collapsed="false">
      <c r="A13" s="12" t="s">
        <v>6</v>
      </c>
      <c r="B13" s="12" t="s">
        <v>56</v>
      </c>
      <c r="C13" s="13" t="s">
        <v>57</v>
      </c>
      <c r="D13" s="1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1" t="s">
        <v>37</v>
      </c>
      <c r="B1" s="11" t="s">
        <v>59</v>
      </c>
      <c r="C1" s="11" t="s">
        <v>3</v>
      </c>
      <c r="D1" s="11" t="s">
        <v>60</v>
      </c>
      <c r="E1" s="11" t="s">
        <v>39</v>
      </c>
      <c r="F1" s="11" t="s">
        <v>61</v>
      </c>
      <c r="G1" s="11" t="s">
        <v>62</v>
      </c>
      <c r="H1" s="11" t="s">
        <v>63</v>
      </c>
      <c r="I1" s="11" t="s">
        <v>64</v>
      </c>
    </row>
    <row r="2" customFormat="false" ht="17.15" hidden="false" customHeight="false" outlineLevel="0" collapsed="false">
      <c r="A2" s="14" t="s">
        <v>4</v>
      </c>
      <c r="B2" s="15" t="n">
        <v>1</v>
      </c>
      <c r="C2" s="14" t="s">
        <v>10</v>
      </c>
      <c r="D2" s="14" t="s">
        <v>65</v>
      </c>
      <c r="E2" s="14" t="s">
        <v>66</v>
      </c>
      <c r="F2" s="16" t="s">
        <v>67</v>
      </c>
      <c r="G2" s="16" t="s">
        <v>67</v>
      </c>
      <c r="H2" s="14" t="s">
        <v>68</v>
      </c>
      <c r="I2" s="14"/>
    </row>
    <row r="3" customFormat="false" ht="17.15" hidden="false" customHeight="false" outlineLevel="0" collapsed="false">
      <c r="A3" s="14" t="s">
        <v>4</v>
      </c>
      <c r="B3" s="15" t="n">
        <v>1</v>
      </c>
      <c r="C3" s="14" t="s">
        <v>10</v>
      </c>
      <c r="D3" s="14" t="s">
        <v>65</v>
      </c>
      <c r="E3" s="14" t="s">
        <v>69</v>
      </c>
      <c r="F3" s="16" t="s">
        <v>70</v>
      </c>
      <c r="G3" s="16" t="s">
        <v>70</v>
      </c>
      <c r="H3" s="14" t="s">
        <v>68</v>
      </c>
      <c r="I3" s="14"/>
    </row>
    <row r="4" customFormat="false" ht="17.15" hidden="false" customHeight="false" outlineLevel="0" collapsed="false">
      <c r="A4" s="14" t="s">
        <v>4</v>
      </c>
      <c r="B4" s="15" t="n">
        <v>1</v>
      </c>
      <c r="C4" s="14" t="s">
        <v>10</v>
      </c>
      <c r="D4" s="14" t="s">
        <v>65</v>
      </c>
      <c r="E4" s="17" t="s">
        <v>71</v>
      </c>
      <c r="F4" s="16" t="s">
        <v>72</v>
      </c>
      <c r="G4" s="16" t="s">
        <v>72</v>
      </c>
      <c r="H4" s="14" t="s">
        <v>68</v>
      </c>
      <c r="I4" s="17"/>
    </row>
    <row r="5" customFormat="false" ht="17.15" hidden="false" customHeight="false" outlineLevel="0" collapsed="false">
      <c r="A5" s="14" t="s">
        <v>4</v>
      </c>
      <c r="B5" s="15" t="n">
        <v>1</v>
      </c>
      <c r="C5" s="14" t="s">
        <v>10</v>
      </c>
      <c r="D5" s="14" t="s">
        <v>65</v>
      </c>
      <c r="E5" s="14" t="s">
        <v>73</v>
      </c>
      <c r="F5" s="16" t="s">
        <v>74</v>
      </c>
      <c r="G5" s="16" t="s">
        <v>74</v>
      </c>
      <c r="H5" s="14" t="s">
        <v>68</v>
      </c>
      <c r="I5" s="17"/>
    </row>
    <row r="6" customFormat="false" ht="17.15" hidden="false" customHeight="false" outlineLevel="0" collapsed="false">
      <c r="A6" s="14" t="s">
        <v>4</v>
      </c>
      <c r="B6" s="15" t="n">
        <v>1</v>
      </c>
      <c r="C6" s="14" t="s">
        <v>10</v>
      </c>
      <c r="D6" s="14" t="s">
        <v>65</v>
      </c>
      <c r="E6" s="14" t="s">
        <v>75</v>
      </c>
      <c r="F6" s="16" t="s">
        <v>76</v>
      </c>
      <c r="G6" s="16" t="s">
        <v>76</v>
      </c>
      <c r="H6" s="14" t="s">
        <v>68</v>
      </c>
      <c r="I6" s="17"/>
    </row>
    <row r="7" customFormat="false" ht="17.15" hidden="false" customHeight="false" outlineLevel="0" collapsed="false">
      <c r="A7" s="14" t="s">
        <v>4</v>
      </c>
      <c r="B7" s="15" t="n">
        <v>1</v>
      </c>
      <c r="C7" s="14" t="s">
        <v>10</v>
      </c>
      <c r="D7" s="14" t="s">
        <v>65</v>
      </c>
      <c r="E7" s="14" t="s">
        <v>77</v>
      </c>
      <c r="F7" s="16" t="s">
        <v>78</v>
      </c>
      <c r="G7" s="16" t="s">
        <v>78</v>
      </c>
      <c r="H7" s="14" t="s">
        <v>68</v>
      </c>
      <c r="I7" s="17"/>
    </row>
    <row r="8" customFormat="false" ht="17.15" hidden="false" customHeight="false" outlineLevel="0" collapsed="false">
      <c r="A8" s="14" t="s">
        <v>4</v>
      </c>
      <c r="B8" s="15" t="n">
        <v>2</v>
      </c>
      <c r="C8" s="14" t="s">
        <v>14</v>
      </c>
      <c r="D8" s="14" t="s">
        <v>79</v>
      </c>
      <c r="E8" s="14" t="s">
        <v>80</v>
      </c>
      <c r="F8" s="16" t="s">
        <v>81</v>
      </c>
      <c r="G8" s="16" t="s">
        <v>81</v>
      </c>
      <c r="H8" s="14" t="s">
        <v>68</v>
      </c>
      <c r="I8" s="17"/>
    </row>
    <row r="9" customFormat="false" ht="17.15" hidden="false" customHeight="false" outlineLevel="0" collapsed="false">
      <c r="A9" s="14" t="s">
        <v>4</v>
      </c>
      <c r="B9" s="15" t="n">
        <v>2</v>
      </c>
      <c r="C9" s="14" t="s">
        <v>14</v>
      </c>
      <c r="D9" s="14" t="s">
        <v>79</v>
      </c>
      <c r="E9" s="14" t="s">
        <v>82</v>
      </c>
      <c r="F9" s="16" t="s">
        <v>83</v>
      </c>
      <c r="G9" s="16" t="s">
        <v>83</v>
      </c>
      <c r="H9" s="14" t="s">
        <v>68</v>
      </c>
      <c r="I9" s="17"/>
    </row>
    <row r="10" customFormat="false" ht="17.15" hidden="false" customHeight="false" outlineLevel="0" collapsed="false">
      <c r="A10" s="14" t="s">
        <v>4</v>
      </c>
      <c r="B10" s="15" t="n">
        <v>2</v>
      </c>
      <c r="C10" s="14" t="s">
        <v>14</v>
      </c>
      <c r="D10" s="14" t="s">
        <v>79</v>
      </c>
      <c r="E10" s="14" t="s">
        <v>84</v>
      </c>
      <c r="F10" s="16" t="s">
        <v>85</v>
      </c>
      <c r="G10" s="16" t="s">
        <v>85</v>
      </c>
      <c r="H10" s="14" t="s">
        <v>68</v>
      </c>
      <c r="I10" s="17"/>
    </row>
    <row r="11" customFormat="false" ht="17.15" hidden="false" customHeight="false" outlineLevel="0" collapsed="false">
      <c r="A11" s="14" t="s">
        <v>4</v>
      </c>
      <c r="B11" s="15" t="n">
        <v>2</v>
      </c>
      <c r="C11" s="14" t="s">
        <v>14</v>
      </c>
      <c r="D11" s="14" t="s">
        <v>79</v>
      </c>
      <c r="E11" s="14" t="s">
        <v>86</v>
      </c>
      <c r="F11" s="16" t="s">
        <v>87</v>
      </c>
      <c r="G11" s="16" t="s">
        <v>87</v>
      </c>
      <c r="H11" s="14" t="s">
        <v>68</v>
      </c>
      <c r="I11" s="17"/>
    </row>
    <row r="12" customFormat="false" ht="17.15" hidden="false" customHeight="false" outlineLevel="0" collapsed="false">
      <c r="A12" s="14" t="s">
        <v>4</v>
      </c>
      <c r="B12" s="15" t="n">
        <v>2</v>
      </c>
      <c r="C12" s="14" t="s">
        <v>14</v>
      </c>
      <c r="D12" s="14" t="s">
        <v>79</v>
      </c>
      <c r="E12" s="17" t="s">
        <v>88</v>
      </c>
      <c r="F12" s="16" t="s">
        <v>89</v>
      </c>
      <c r="G12" s="16" t="s">
        <v>89</v>
      </c>
      <c r="H12" s="14" t="s">
        <v>68</v>
      </c>
      <c r="I12" s="17"/>
    </row>
    <row r="13" customFormat="false" ht="17.15" hidden="false" customHeight="false" outlineLevel="0" collapsed="false">
      <c r="A13" s="14" t="s">
        <v>4</v>
      </c>
      <c r="B13" s="15" t="n">
        <v>2</v>
      </c>
      <c r="C13" s="14" t="s">
        <v>14</v>
      </c>
      <c r="D13" s="14" t="s">
        <v>79</v>
      </c>
      <c r="E13" s="14" t="s">
        <v>90</v>
      </c>
      <c r="F13" s="16" t="s">
        <v>91</v>
      </c>
      <c r="G13" s="16" t="s">
        <v>91</v>
      </c>
      <c r="H13" s="14" t="s">
        <v>68</v>
      </c>
      <c r="I13" s="14" t="s">
        <v>92</v>
      </c>
    </row>
    <row r="14" customFormat="false" ht="17.15" hidden="false" customHeight="false" outlineLevel="0" collapsed="false">
      <c r="A14" s="14" t="s">
        <v>4</v>
      </c>
      <c r="B14" s="15" t="n">
        <v>2</v>
      </c>
      <c r="C14" s="14" t="s">
        <v>14</v>
      </c>
      <c r="D14" s="14" t="s">
        <v>79</v>
      </c>
      <c r="E14" s="14" t="s">
        <v>93</v>
      </c>
      <c r="F14" s="16" t="s">
        <v>94</v>
      </c>
      <c r="G14" s="16" t="s">
        <v>94</v>
      </c>
      <c r="H14" s="14" t="s">
        <v>68</v>
      </c>
      <c r="I14" s="17"/>
    </row>
    <row r="15" customFormat="false" ht="17.15" hidden="false" customHeight="false" outlineLevel="0" collapsed="false">
      <c r="A15" s="14" t="s">
        <v>4</v>
      </c>
      <c r="B15" s="15" t="n">
        <v>2</v>
      </c>
      <c r="C15" s="14" t="s">
        <v>14</v>
      </c>
      <c r="D15" s="14" t="s">
        <v>79</v>
      </c>
      <c r="E15" s="14" t="s">
        <v>95</v>
      </c>
      <c r="F15" s="16" t="s">
        <v>96</v>
      </c>
      <c r="G15" s="16" t="s">
        <v>96</v>
      </c>
      <c r="H15" s="14" t="s">
        <v>68</v>
      </c>
      <c r="I15" s="17"/>
    </row>
    <row r="16" customFormat="false" ht="17.15" hidden="false" customHeight="false" outlineLevel="0" collapsed="false">
      <c r="A16" s="14" t="s">
        <v>4</v>
      </c>
      <c r="B16" s="15" t="n">
        <v>3</v>
      </c>
      <c r="C16" s="14" t="s">
        <v>16</v>
      </c>
      <c r="D16" s="14" t="s">
        <v>97</v>
      </c>
      <c r="E16" s="14" t="s">
        <v>98</v>
      </c>
      <c r="F16" s="16" t="s">
        <v>99</v>
      </c>
      <c r="G16" s="16" t="s">
        <v>99</v>
      </c>
      <c r="H16" s="14" t="s">
        <v>68</v>
      </c>
      <c r="I16" s="14" t="s">
        <v>100</v>
      </c>
    </row>
    <row r="17" customFormat="false" ht="17.15" hidden="false" customHeight="false" outlineLevel="0" collapsed="false">
      <c r="A17" s="14" t="s">
        <v>4</v>
      </c>
      <c r="B17" s="15" t="n">
        <v>3</v>
      </c>
      <c r="C17" s="14" t="s">
        <v>16</v>
      </c>
      <c r="D17" s="14" t="s">
        <v>97</v>
      </c>
      <c r="E17" s="14" t="s">
        <v>101</v>
      </c>
      <c r="F17" s="16" t="s">
        <v>102</v>
      </c>
      <c r="G17" s="16" t="s">
        <v>102</v>
      </c>
      <c r="H17" s="14" t="s">
        <v>68</v>
      </c>
      <c r="I17" s="14" t="s">
        <v>103</v>
      </c>
    </row>
    <row r="18" customFormat="false" ht="17.15" hidden="false" customHeight="false" outlineLevel="0" collapsed="false">
      <c r="A18" s="14" t="s">
        <v>4</v>
      </c>
      <c r="B18" s="15" t="n">
        <v>3</v>
      </c>
      <c r="C18" s="14" t="s">
        <v>16</v>
      </c>
      <c r="D18" s="14" t="s">
        <v>97</v>
      </c>
      <c r="E18" s="14" t="s">
        <v>104</v>
      </c>
      <c r="F18" s="16" t="s">
        <v>105</v>
      </c>
      <c r="G18" s="16" t="s">
        <v>105</v>
      </c>
      <c r="H18" s="14" t="s">
        <v>68</v>
      </c>
      <c r="I18" s="14" t="s">
        <v>106</v>
      </c>
    </row>
    <row r="19" customFormat="false" ht="17.15" hidden="false" customHeight="false" outlineLevel="0" collapsed="false">
      <c r="A19" s="14" t="s">
        <v>4</v>
      </c>
      <c r="B19" s="15" t="n">
        <v>3</v>
      </c>
      <c r="C19" s="14" t="s">
        <v>16</v>
      </c>
      <c r="D19" s="14" t="s">
        <v>107</v>
      </c>
      <c r="E19" s="14" t="s">
        <v>108</v>
      </c>
      <c r="F19" s="16" t="s">
        <v>109</v>
      </c>
      <c r="G19" s="16" t="s">
        <v>109</v>
      </c>
      <c r="H19" s="14" t="s">
        <v>110</v>
      </c>
      <c r="I19" s="14" t="s">
        <v>111</v>
      </c>
    </row>
    <row r="20" customFormat="false" ht="17.15" hidden="false" customHeight="false" outlineLevel="0" collapsed="false">
      <c r="A20" s="14" t="s">
        <v>4</v>
      </c>
      <c r="B20" s="15" t="n">
        <v>3</v>
      </c>
      <c r="C20" s="14" t="s">
        <v>16</v>
      </c>
      <c r="D20" s="14" t="s">
        <v>107</v>
      </c>
      <c r="E20" s="14" t="s">
        <v>112</v>
      </c>
      <c r="F20" s="16" t="s">
        <v>113</v>
      </c>
      <c r="G20" s="16" t="s">
        <v>113</v>
      </c>
      <c r="H20" s="14" t="s">
        <v>110</v>
      </c>
      <c r="I20" s="14" t="s">
        <v>114</v>
      </c>
    </row>
    <row r="21" customFormat="false" ht="17.15" hidden="false" customHeight="false" outlineLevel="0" collapsed="false">
      <c r="A21" s="14" t="s">
        <v>4</v>
      </c>
      <c r="B21" s="15" t="n">
        <v>4</v>
      </c>
      <c r="C21" s="14" t="s">
        <v>20</v>
      </c>
      <c r="D21" s="14" t="s">
        <v>107</v>
      </c>
      <c r="E21" s="14" t="s">
        <v>115</v>
      </c>
      <c r="F21" s="16" t="s">
        <v>116</v>
      </c>
      <c r="G21" s="16" t="s">
        <v>116</v>
      </c>
      <c r="H21" s="14" t="s">
        <v>110</v>
      </c>
      <c r="I21" s="14" t="s">
        <v>117</v>
      </c>
    </row>
    <row r="22" customFormat="false" ht="17.15" hidden="false" customHeight="false" outlineLevel="0" collapsed="false">
      <c r="A22" s="14" t="s">
        <v>4</v>
      </c>
      <c r="B22" s="15" t="n">
        <v>4</v>
      </c>
      <c r="C22" s="14" t="s">
        <v>20</v>
      </c>
      <c r="D22" s="14" t="s">
        <v>107</v>
      </c>
      <c r="E22" s="14" t="s">
        <v>118</v>
      </c>
      <c r="F22" s="16" t="s">
        <v>119</v>
      </c>
      <c r="G22" s="16" t="s">
        <v>119</v>
      </c>
      <c r="H22" s="14" t="s">
        <v>110</v>
      </c>
      <c r="I22" s="14" t="s">
        <v>120</v>
      </c>
    </row>
    <row r="23" customFormat="false" ht="17.15" hidden="false" customHeight="false" outlineLevel="0" collapsed="false">
      <c r="A23" s="14" t="s">
        <v>4</v>
      </c>
      <c r="B23" s="15" t="n">
        <v>4</v>
      </c>
      <c r="C23" s="14" t="s">
        <v>20</v>
      </c>
      <c r="D23" s="14" t="s">
        <v>107</v>
      </c>
      <c r="E23" s="14" t="s">
        <v>121</v>
      </c>
      <c r="F23" s="16" t="s">
        <v>122</v>
      </c>
      <c r="G23" s="16" t="s">
        <v>122</v>
      </c>
      <c r="H23" s="14" t="s">
        <v>110</v>
      </c>
      <c r="I23" s="14" t="s">
        <v>123</v>
      </c>
    </row>
    <row r="24" customFormat="false" ht="17.15" hidden="false" customHeight="false" outlineLevel="0" collapsed="false">
      <c r="A24" s="14" t="s">
        <v>4</v>
      </c>
      <c r="B24" s="15" t="n">
        <v>5</v>
      </c>
      <c r="C24" s="14" t="s">
        <v>24</v>
      </c>
      <c r="D24" s="14" t="s">
        <v>41</v>
      </c>
      <c r="E24" s="14" t="s">
        <v>42</v>
      </c>
      <c r="F24" s="16" t="s">
        <v>124</v>
      </c>
      <c r="G24" s="16" t="s">
        <v>124</v>
      </c>
      <c r="H24" s="14" t="s">
        <v>125</v>
      </c>
      <c r="I24" s="14" t="s">
        <v>126</v>
      </c>
    </row>
    <row r="25" customFormat="false" ht="17.15" hidden="false" customHeight="false" outlineLevel="0" collapsed="false">
      <c r="A25" s="14" t="s">
        <v>4</v>
      </c>
      <c r="B25" s="15" t="n">
        <v>5</v>
      </c>
      <c r="C25" s="14" t="s">
        <v>24</v>
      </c>
      <c r="D25" s="14" t="s">
        <v>41</v>
      </c>
      <c r="E25" s="14" t="s">
        <v>44</v>
      </c>
      <c r="F25" s="16" t="s">
        <v>127</v>
      </c>
      <c r="G25" s="16" t="s">
        <v>127</v>
      </c>
      <c r="H25" s="14" t="s">
        <v>125</v>
      </c>
      <c r="I25" s="14" t="s">
        <v>126</v>
      </c>
    </row>
    <row r="26" customFormat="false" ht="17.15" hidden="false" customHeight="false" outlineLevel="0" collapsed="false">
      <c r="A26" s="14" t="s">
        <v>4</v>
      </c>
      <c r="B26" s="15" t="n">
        <v>5</v>
      </c>
      <c r="C26" s="14" t="s">
        <v>24</v>
      </c>
      <c r="D26" s="14" t="s">
        <v>41</v>
      </c>
      <c r="E26" s="14" t="s">
        <v>45</v>
      </c>
      <c r="F26" s="16" t="s">
        <v>128</v>
      </c>
      <c r="G26" s="16" t="s">
        <v>128</v>
      </c>
      <c r="H26" s="14" t="s">
        <v>125</v>
      </c>
      <c r="I26" s="14" t="s">
        <v>129</v>
      </c>
    </row>
    <row r="27" customFormat="false" ht="17.15" hidden="false" customHeight="false" outlineLevel="0" collapsed="false">
      <c r="A27" s="14" t="s">
        <v>4</v>
      </c>
      <c r="B27" s="15" t="n">
        <v>5</v>
      </c>
      <c r="C27" s="14" t="s">
        <v>24</v>
      </c>
      <c r="D27" s="14" t="s">
        <v>41</v>
      </c>
      <c r="E27" s="17" t="s">
        <v>46</v>
      </c>
      <c r="F27" s="16" t="s">
        <v>130</v>
      </c>
      <c r="G27" s="16" t="s">
        <v>130</v>
      </c>
      <c r="H27" s="14" t="s">
        <v>125</v>
      </c>
      <c r="I27" s="14" t="s">
        <v>131</v>
      </c>
    </row>
    <row r="28" customFormat="false" ht="17.15" hidden="false" customHeight="false" outlineLevel="0" collapsed="false">
      <c r="A28" s="14" t="s">
        <v>4</v>
      </c>
      <c r="B28" s="15" t="n">
        <v>5</v>
      </c>
      <c r="C28" s="14" t="s">
        <v>24</v>
      </c>
      <c r="D28" s="14" t="s">
        <v>41</v>
      </c>
      <c r="E28" s="14" t="s">
        <v>47</v>
      </c>
      <c r="F28" s="16" t="s">
        <v>132</v>
      </c>
      <c r="G28" s="16" t="s">
        <v>132</v>
      </c>
      <c r="H28" s="14" t="s">
        <v>125</v>
      </c>
      <c r="I28" s="14" t="s">
        <v>126</v>
      </c>
    </row>
    <row r="29" customFormat="false" ht="17.15" hidden="false" customHeight="false" outlineLevel="0" collapsed="false">
      <c r="A29" s="14" t="s">
        <v>4</v>
      </c>
      <c r="B29" s="15" t="n">
        <v>5</v>
      </c>
      <c r="C29" s="14" t="s">
        <v>24</v>
      </c>
      <c r="D29" s="14" t="s">
        <v>107</v>
      </c>
      <c r="E29" s="17" t="s">
        <v>133</v>
      </c>
      <c r="F29" s="16" t="s">
        <v>134</v>
      </c>
      <c r="G29" s="16" t="s">
        <v>134</v>
      </c>
      <c r="H29" s="14" t="s">
        <v>110</v>
      </c>
      <c r="I29" s="14" t="s">
        <v>135</v>
      </c>
    </row>
    <row r="30" customFormat="false" ht="17.15" hidden="false" customHeight="false" outlineLevel="0" collapsed="false">
      <c r="A30" s="14" t="s">
        <v>4</v>
      </c>
      <c r="B30" s="15" t="n">
        <v>6</v>
      </c>
      <c r="C30" s="14" t="s">
        <v>27</v>
      </c>
      <c r="D30" s="14" t="s">
        <v>136</v>
      </c>
      <c r="E30" s="14" t="s">
        <v>137</v>
      </c>
      <c r="F30" s="16" t="s">
        <v>138</v>
      </c>
      <c r="G30" s="16" t="s">
        <v>138</v>
      </c>
      <c r="H30" s="14" t="s">
        <v>68</v>
      </c>
      <c r="I30" s="14" t="s">
        <v>139</v>
      </c>
    </row>
    <row r="31" customFormat="false" ht="17.15" hidden="false" customHeight="false" outlineLevel="0" collapsed="false">
      <c r="A31" s="14" t="s">
        <v>4</v>
      </c>
      <c r="B31" s="15" t="n">
        <v>6</v>
      </c>
      <c r="C31" s="14" t="s">
        <v>27</v>
      </c>
      <c r="D31" s="14" t="s">
        <v>107</v>
      </c>
      <c r="E31" s="14" t="s">
        <v>140</v>
      </c>
      <c r="F31" s="16" t="s">
        <v>141</v>
      </c>
      <c r="G31" s="16" t="s">
        <v>141</v>
      </c>
      <c r="H31" s="14" t="s">
        <v>110</v>
      </c>
      <c r="I31" s="14" t="s">
        <v>142</v>
      </c>
    </row>
    <row r="32" customFormat="false" ht="17.15" hidden="false" customHeight="false" outlineLevel="0" collapsed="false">
      <c r="A32" s="14" t="s">
        <v>4</v>
      </c>
      <c r="B32" s="15" t="n">
        <v>6</v>
      </c>
      <c r="C32" s="14" t="s">
        <v>27</v>
      </c>
      <c r="D32" s="14" t="s">
        <v>107</v>
      </c>
      <c r="E32" s="14" t="s">
        <v>143</v>
      </c>
      <c r="F32" s="16" t="s">
        <v>144</v>
      </c>
      <c r="G32" s="16" t="s">
        <v>144</v>
      </c>
      <c r="H32" s="14" t="s">
        <v>110</v>
      </c>
      <c r="I32" s="14" t="s">
        <v>145</v>
      </c>
    </row>
    <row r="33" customFormat="false" ht="17.15" hidden="false" customHeight="false" outlineLevel="0" collapsed="false">
      <c r="A33" s="14" t="s">
        <v>4</v>
      </c>
      <c r="B33" s="15" t="n">
        <v>7</v>
      </c>
      <c r="C33" s="14" t="s">
        <v>31</v>
      </c>
      <c r="D33" s="14" t="s">
        <v>107</v>
      </c>
      <c r="E33" s="14" t="s">
        <v>146</v>
      </c>
      <c r="F33" s="16" t="s">
        <v>147</v>
      </c>
      <c r="G33" s="16" t="s">
        <v>147</v>
      </c>
      <c r="H33" s="14" t="s">
        <v>110</v>
      </c>
      <c r="I33" s="14" t="s">
        <v>148</v>
      </c>
    </row>
    <row r="34" customFormat="false" ht="17.15" hidden="false" customHeight="false" outlineLevel="0" collapsed="false">
      <c r="A34" s="14" t="s">
        <v>4</v>
      </c>
      <c r="B34" s="15" t="n">
        <v>7</v>
      </c>
      <c r="C34" s="14" t="s">
        <v>31</v>
      </c>
      <c r="D34" s="14" t="s">
        <v>107</v>
      </c>
      <c r="E34" s="14" t="s">
        <v>149</v>
      </c>
      <c r="F34" s="16" t="s">
        <v>150</v>
      </c>
      <c r="G34" s="16" t="s">
        <v>150</v>
      </c>
      <c r="H34" s="14" t="s">
        <v>110</v>
      </c>
      <c r="I34" s="17"/>
    </row>
    <row r="35" customFormat="false" ht="17.15" hidden="false" customHeight="false" outlineLevel="0" collapsed="false">
      <c r="A35" s="14" t="s">
        <v>4</v>
      </c>
      <c r="B35" s="15"/>
      <c r="C35" s="17" t="s">
        <v>50</v>
      </c>
      <c r="D35" s="14" t="s">
        <v>48</v>
      </c>
      <c r="E35" s="14" t="s">
        <v>49</v>
      </c>
      <c r="F35" s="16" t="s">
        <v>151</v>
      </c>
      <c r="G35" s="16" t="s">
        <v>151</v>
      </c>
      <c r="H35" s="14" t="s">
        <v>152</v>
      </c>
      <c r="I35" s="17" t="s">
        <v>153</v>
      </c>
    </row>
    <row r="36" customFormat="false" ht="17.15" hidden="false" customHeight="false" outlineLevel="0" collapsed="false">
      <c r="A36" s="14" t="s">
        <v>4</v>
      </c>
      <c r="B36" s="15"/>
      <c r="C36" s="17" t="s">
        <v>52</v>
      </c>
      <c r="D36" s="14" t="s">
        <v>48</v>
      </c>
      <c r="E36" s="14" t="s">
        <v>51</v>
      </c>
      <c r="F36" s="16" t="s">
        <v>154</v>
      </c>
      <c r="G36" s="16" t="s">
        <v>154</v>
      </c>
      <c r="H36" s="14" t="s">
        <v>152</v>
      </c>
      <c r="I36" s="17" t="s">
        <v>155</v>
      </c>
    </row>
    <row r="37" customFormat="false" ht="17.15" hidden="false" customHeight="false" outlineLevel="0" collapsed="false">
      <c r="A37" s="14" t="s">
        <v>4</v>
      </c>
      <c r="B37" s="15"/>
      <c r="C37" s="17" t="s">
        <v>52</v>
      </c>
      <c r="D37" s="14" t="s">
        <v>48</v>
      </c>
      <c r="E37" s="14" t="s">
        <v>53</v>
      </c>
      <c r="F37" s="16" t="s">
        <v>156</v>
      </c>
      <c r="G37" s="16" t="s">
        <v>156</v>
      </c>
      <c r="H37" s="14" t="s">
        <v>152</v>
      </c>
      <c r="I37" s="17" t="s">
        <v>157</v>
      </c>
    </row>
    <row r="38" customFormat="false" ht="17.15" hidden="false" customHeight="false" outlineLevel="0" collapsed="false">
      <c r="A38" s="14" t="s">
        <v>4</v>
      </c>
      <c r="B38" s="15"/>
      <c r="C38" s="17" t="s">
        <v>55</v>
      </c>
      <c r="D38" s="14" t="s">
        <v>48</v>
      </c>
      <c r="E38" s="14" t="s">
        <v>54</v>
      </c>
      <c r="F38" s="16" t="s">
        <v>158</v>
      </c>
      <c r="G38" s="16" t="s">
        <v>158</v>
      </c>
      <c r="H38" s="14" t="s">
        <v>152</v>
      </c>
      <c r="I38" s="17" t="s">
        <v>159</v>
      </c>
    </row>
    <row r="39" customFormat="false" ht="17.15" hidden="false" customHeight="false" outlineLevel="0" collapsed="false">
      <c r="A39" s="14" t="s">
        <v>5</v>
      </c>
      <c r="B39" s="15" t="n">
        <v>3</v>
      </c>
      <c r="C39" s="14" t="s">
        <v>16</v>
      </c>
      <c r="D39" s="14" t="s">
        <v>107</v>
      </c>
      <c r="E39" s="14" t="s">
        <v>160</v>
      </c>
      <c r="F39" s="16" t="s">
        <v>161</v>
      </c>
      <c r="G39" s="16" t="s">
        <v>162</v>
      </c>
      <c r="H39" s="14" t="s">
        <v>110</v>
      </c>
      <c r="I39" s="14" t="s">
        <v>163</v>
      </c>
    </row>
    <row r="40" customFormat="false" ht="17.15" hidden="false" customHeight="false" outlineLevel="0" collapsed="false">
      <c r="A40" s="14" t="s">
        <v>5</v>
      </c>
      <c r="B40" s="15" t="n">
        <v>3</v>
      </c>
      <c r="C40" s="14" t="s">
        <v>16</v>
      </c>
      <c r="D40" s="14" t="s">
        <v>107</v>
      </c>
      <c r="E40" s="14" t="s">
        <v>164</v>
      </c>
      <c r="F40" s="16" t="s">
        <v>165</v>
      </c>
      <c r="G40" s="16" t="s">
        <v>166</v>
      </c>
      <c r="H40" s="14" t="s">
        <v>110</v>
      </c>
      <c r="I40" s="14" t="s">
        <v>167</v>
      </c>
    </row>
    <row r="41" customFormat="false" ht="17.15" hidden="false" customHeight="false" outlineLevel="0" collapsed="false">
      <c r="A41" s="14" t="s">
        <v>5</v>
      </c>
      <c r="B41" s="15" t="n">
        <v>3</v>
      </c>
      <c r="C41" s="14" t="s">
        <v>16</v>
      </c>
      <c r="D41" s="14" t="s">
        <v>107</v>
      </c>
      <c r="E41" s="14" t="s">
        <v>168</v>
      </c>
      <c r="F41" s="16" t="s">
        <v>169</v>
      </c>
      <c r="G41" s="16" t="s">
        <v>170</v>
      </c>
      <c r="H41" s="14" t="s">
        <v>110</v>
      </c>
      <c r="I41" s="14" t="s">
        <v>171</v>
      </c>
    </row>
    <row r="42" customFormat="false" ht="17.15" hidden="false" customHeight="false" outlineLevel="0" collapsed="false">
      <c r="A42" s="14" t="s">
        <v>5</v>
      </c>
      <c r="B42" s="15" t="n">
        <v>4</v>
      </c>
      <c r="C42" s="14" t="s">
        <v>20</v>
      </c>
      <c r="D42" s="14" t="s">
        <v>107</v>
      </c>
      <c r="E42" s="17" t="s">
        <v>172</v>
      </c>
      <c r="F42" s="16" t="s">
        <v>173</v>
      </c>
      <c r="G42" s="16" t="s">
        <v>174</v>
      </c>
      <c r="H42" s="14" t="s">
        <v>110</v>
      </c>
      <c r="I42" s="14" t="s">
        <v>175</v>
      </c>
    </row>
    <row r="43" customFormat="false" ht="17.15" hidden="false" customHeight="false" outlineLevel="0" collapsed="false">
      <c r="A43" s="14" t="s">
        <v>5</v>
      </c>
      <c r="B43" s="15" t="n">
        <v>4</v>
      </c>
      <c r="C43" s="14" t="s">
        <v>20</v>
      </c>
      <c r="D43" s="14" t="s">
        <v>107</v>
      </c>
      <c r="E43" s="17" t="s">
        <v>176</v>
      </c>
      <c r="F43" s="16" t="s">
        <v>177</v>
      </c>
      <c r="G43" s="16" t="s">
        <v>178</v>
      </c>
      <c r="H43" s="14" t="s">
        <v>110</v>
      </c>
      <c r="I43" s="14" t="s">
        <v>179</v>
      </c>
    </row>
    <row r="44" customFormat="false" ht="17.15" hidden="false" customHeight="false" outlineLevel="0" collapsed="false">
      <c r="A44" s="14" t="s">
        <v>5</v>
      </c>
      <c r="B44" s="15" t="n">
        <v>5</v>
      </c>
      <c r="C44" s="14" t="s">
        <v>24</v>
      </c>
      <c r="D44" s="14" t="s">
        <v>107</v>
      </c>
      <c r="E44" s="17" t="s">
        <v>180</v>
      </c>
      <c r="F44" s="16" t="s">
        <v>181</v>
      </c>
      <c r="G44" s="16" t="s">
        <v>182</v>
      </c>
      <c r="H44" s="14" t="s">
        <v>110</v>
      </c>
      <c r="I44" s="14" t="s">
        <v>183</v>
      </c>
    </row>
    <row r="45" customFormat="false" ht="17.15" hidden="false" customHeight="false" outlineLevel="0" collapsed="false">
      <c r="A45" s="14" t="s">
        <v>5</v>
      </c>
      <c r="B45" s="15" t="n">
        <v>5</v>
      </c>
      <c r="C45" s="14" t="s">
        <v>24</v>
      </c>
      <c r="D45" s="14" t="s">
        <v>107</v>
      </c>
      <c r="E45" s="14" t="s">
        <v>184</v>
      </c>
      <c r="F45" s="16" t="s">
        <v>185</v>
      </c>
      <c r="G45" s="16" t="s">
        <v>186</v>
      </c>
      <c r="H45" s="14" t="s">
        <v>110</v>
      </c>
      <c r="I45" s="14" t="s">
        <v>187</v>
      </c>
    </row>
    <row r="46" customFormat="false" ht="17.15" hidden="false" customHeight="false" outlineLevel="0" collapsed="false">
      <c r="A46" s="14" t="s">
        <v>5</v>
      </c>
      <c r="B46" s="15" t="n">
        <v>5</v>
      </c>
      <c r="C46" s="14" t="s">
        <v>24</v>
      </c>
      <c r="D46" s="14" t="s">
        <v>107</v>
      </c>
      <c r="E46" s="14" t="s">
        <v>188</v>
      </c>
      <c r="F46" s="16" t="s">
        <v>189</v>
      </c>
      <c r="G46" s="16" t="s">
        <v>190</v>
      </c>
      <c r="H46" s="14" t="s">
        <v>110</v>
      </c>
      <c r="I46" s="14" t="s">
        <v>191</v>
      </c>
    </row>
    <row r="47" customFormat="false" ht="17.15" hidden="false" customHeight="false" outlineLevel="0" collapsed="false">
      <c r="A47" s="14" t="s">
        <v>5</v>
      </c>
      <c r="B47" s="15" t="n">
        <v>6</v>
      </c>
      <c r="C47" s="14" t="s">
        <v>27</v>
      </c>
      <c r="D47" s="14" t="s">
        <v>107</v>
      </c>
      <c r="E47" s="14" t="s">
        <v>192</v>
      </c>
      <c r="F47" s="16" t="s">
        <v>193</v>
      </c>
      <c r="G47" s="16" t="s">
        <v>194</v>
      </c>
      <c r="H47" s="14" t="s">
        <v>110</v>
      </c>
      <c r="I47" s="14" t="s">
        <v>195</v>
      </c>
    </row>
    <row r="48" customFormat="false" ht="17.15" hidden="false" customHeight="false" outlineLevel="0" collapsed="false">
      <c r="A48" s="14" t="s">
        <v>5</v>
      </c>
      <c r="B48" s="15" t="n">
        <v>6</v>
      </c>
      <c r="C48" s="14" t="s">
        <v>27</v>
      </c>
      <c r="D48" s="14" t="s">
        <v>107</v>
      </c>
      <c r="E48" s="14" t="s">
        <v>196</v>
      </c>
      <c r="F48" s="16" t="s">
        <v>197</v>
      </c>
      <c r="G48" s="16" t="s">
        <v>198</v>
      </c>
      <c r="H48" s="14" t="s">
        <v>110</v>
      </c>
      <c r="I48" s="17"/>
    </row>
    <row r="49" customFormat="false" ht="17.15" hidden="false" customHeight="false" outlineLevel="0" collapsed="false">
      <c r="A49" s="14" t="s">
        <v>5</v>
      </c>
      <c r="B49" s="15" t="n">
        <v>7</v>
      </c>
      <c r="C49" s="14" t="s">
        <v>31</v>
      </c>
      <c r="D49" s="14" t="s">
        <v>107</v>
      </c>
      <c r="E49" s="14" t="s">
        <v>33</v>
      </c>
      <c r="F49" s="16" t="s">
        <v>199</v>
      </c>
      <c r="G49" s="16" t="s">
        <v>200</v>
      </c>
      <c r="H49" s="14" t="s">
        <v>110</v>
      </c>
      <c r="I49" s="14" t="s">
        <v>201</v>
      </c>
    </row>
    <row r="50" customFormat="false" ht="17.15" hidden="false" customHeight="false" outlineLevel="0" collapsed="false">
      <c r="A50" s="14" t="s">
        <v>6</v>
      </c>
      <c r="B50" s="15" t="n">
        <v>1</v>
      </c>
      <c r="C50" s="14" t="s">
        <v>10</v>
      </c>
      <c r="D50" s="14" t="s">
        <v>107</v>
      </c>
      <c r="E50" s="14" t="s">
        <v>202</v>
      </c>
      <c r="F50" s="16" t="s">
        <v>203</v>
      </c>
      <c r="G50" s="16" t="s">
        <v>204</v>
      </c>
      <c r="H50" s="14" t="s">
        <v>110</v>
      </c>
      <c r="I50" s="17" t="s">
        <v>205</v>
      </c>
    </row>
    <row r="51" customFormat="false" ht="17.15" hidden="false" customHeight="false" outlineLevel="0" collapsed="false">
      <c r="A51" s="14" t="s">
        <v>6</v>
      </c>
      <c r="B51" s="15" t="n">
        <v>1</v>
      </c>
      <c r="C51" s="14" t="s">
        <v>10</v>
      </c>
      <c r="D51" s="14" t="s">
        <v>107</v>
      </c>
      <c r="E51" s="17" t="s">
        <v>206</v>
      </c>
      <c r="F51" s="16" t="s">
        <v>207</v>
      </c>
      <c r="G51" s="16" t="s">
        <v>208</v>
      </c>
      <c r="H51" s="14" t="s">
        <v>110</v>
      </c>
      <c r="I51" s="14" t="s">
        <v>209</v>
      </c>
    </row>
    <row r="52" customFormat="false" ht="17.15" hidden="false" customHeight="false" outlineLevel="0" collapsed="false">
      <c r="A52" s="14" t="s">
        <v>6</v>
      </c>
      <c r="B52" s="15" t="n">
        <v>3</v>
      </c>
      <c r="C52" s="14" t="s">
        <v>16</v>
      </c>
      <c r="D52" s="14" t="s">
        <v>210</v>
      </c>
      <c r="E52" s="17" t="s">
        <v>211</v>
      </c>
      <c r="F52" s="16" t="s">
        <v>212</v>
      </c>
      <c r="G52" s="16" t="s">
        <v>213</v>
      </c>
      <c r="H52" s="14" t="s">
        <v>68</v>
      </c>
      <c r="I52" s="17"/>
    </row>
    <row r="53" customFormat="false" ht="17.15" hidden="false" customHeight="false" outlineLevel="0" collapsed="false">
      <c r="A53" s="14" t="s">
        <v>6</v>
      </c>
      <c r="B53" s="15" t="n">
        <v>3</v>
      </c>
      <c r="C53" s="14" t="s">
        <v>16</v>
      </c>
      <c r="D53" s="14" t="s">
        <v>210</v>
      </c>
      <c r="E53" s="17" t="s">
        <v>214</v>
      </c>
      <c r="F53" s="16" t="s">
        <v>215</v>
      </c>
      <c r="G53" s="16" t="s">
        <v>216</v>
      </c>
      <c r="H53" s="14" t="s">
        <v>68</v>
      </c>
      <c r="I53" s="17"/>
    </row>
    <row r="54" customFormat="false" ht="17.15" hidden="false" customHeight="false" outlineLevel="0" collapsed="false">
      <c r="A54" s="14" t="s">
        <v>6</v>
      </c>
      <c r="B54" s="15" t="n">
        <v>3</v>
      </c>
      <c r="C54" s="14" t="s">
        <v>16</v>
      </c>
      <c r="D54" s="14" t="s">
        <v>210</v>
      </c>
      <c r="E54" s="17" t="s">
        <v>217</v>
      </c>
      <c r="F54" s="16" t="s">
        <v>218</v>
      </c>
      <c r="G54" s="16" t="s">
        <v>219</v>
      </c>
      <c r="H54" s="14" t="s">
        <v>68</v>
      </c>
      <c r="I54" s="17"/>
    </row>
    <row r="55" customFormat="false" ht="17.15" hidden="false" customHeight="false" outlineLevel="0" collapsed="false">
      <c r="A55" s="14" t="s">
        <v>6</v>
      </c>
      <c r="B55" s="15" t="n">
        <v>3</v>
      </c>
      <c r="C55" s="14" t="s">
        <v>16</v>
      </c>
      <c r="D55" s="14" t="s">
        <v>107</v>
      </c>
      <c r="E55" s="14" t="s">
        <v>220</v>
      </c>
      <c r="F55" s="16" t="s">
        <v>221</v>
      </c>
      <c r="G55" s="16" t="s">
        <v>222</v>
      </c>
      <c r="H55" s="14" t="s">
        <v>110</v>
      </c>
      <c r="I55" s="14" t="s">
        <v>223</v>
      </c>
    </row>
    <row r="56" customFormat="false" ht="17.15" hidden="false" customHeight="false" outlineLevel="0" collapsed="false">
      <c r="A56" s="14" t="s">
        <v>6</v>
      </c>
      <c r="B56" s="15" t="n">
        <v>3</v>
      </c>
      <c r="C56" s="14" t="s">
        <v>16</v>
      </c>
      <c r="D56" s="14" t="s">
        <v>107</v>
      </c>
      <c r="E56" s="14" t="s">
        <v>224</v>
      </c>
      <c r="F56" s="16" t="s">
        <v>225</v>
      </c>
      <c r="G56" s="16" t="s">
        <v>226</v>
      </c>
      <c r="H56" s="14" t="s">
        <v>110</v>
      </c>
      <c r="I56" s="14" t="s">
        <v>227</v>
      </c>
    </row>
    <row r="57" customFormat="false" ht="17.15" hidden="false" customHeight="false" outlineLevel="0" collapsed="false">
      <c r="A57" s="14" t="s">
        <v>6</v>
      </c>
      <c r="B57" s="15" t="n">
        <v>4</v>
      </c>
      <c r="C57" s="14" t="s">
        <v>20</v>
      </c>
      <c r="D57" s="14" t="s">
        <v>210</v>
      </c>
      <c r="E57" s="17" t="s">
        <v>228</v>
      </c>
      <c r="F57" s="16" t="s">
        <v>229</v>
      </c>
      <c r="G57" s="16" t="s">
        <v>230</v>
      </c>
      <c r="H57" s="14" t="s">
        <v>68</v>
      </c>
      <c r="I57" s="14" t="s">
        <v>231</v>
      </c>
    </row>
    <row r="58" customFormat="false" ht="17.15" hidden="false" customHeight="false" outlineLevel="0" collapsed="false">
      <c r="A58" s="14" t="s">
        <v>6</v>
      </c>
      <c r="B58" s="15" t="n">
        <v>4</v>
      </c>
      <c r="C58" s="14" t="s">
        <v>20</v>
      </c>
      <c r="D58" s="14" t="s">
        <v>107</v>
      </c>
      <c r="E58" s="14" t="s">
        <v>232</v>
      </c>
      <c r="F58" s="16" t="s">
        <v>233</v>
      </c>
      <c r="G58" s="16" t="s">
        <v>234</v>
      </c>
      <c r="H58" s="14" t="s">
        <v>110</v>
      </c>
      <c r="I58" s="14" t="s">
        <v>235</v>
      </c>
    </row>
    <row r="59" customFormat="false" ht="17.15" hidden="false" customHeight="false" outlineLevel="0" collapsed="false">
      <c r="A59" s="14" t="s">
        <v>6</v>
      </c>
      <c r="B59" s="15" t="n">
        <v>6</v>
      </c>
      <c r="C59" s="14" t="s">
        <v>27</v>
      </c>
      <c r="D59" s="14" t="s">
        <v>107</v>
      </c>
      <c r="E59" s="14" t="s">
        <v>30</v>
      </c>
      <c r="F59" s="16" t="s">
        <v>236</v>
      </c>
      <c r="G59" s="16" t="s">
        <v>237</v>
      </c>
      <c r="H59" s="14" t="s">
        <v>110</v>
      </c>
      <c r="I59" s="14" t="s">
        <v>195</v>
      </c>
    </row>
    <row r="60" customFormat="false" ht="17.15" hidden="false" customHeight="false" outlineLevel="0" collapsed="false">
      <c r="A60" s="14" t="s">
        <v>6</v>
      </c>
      <c r="B60" s="15" t="n">
        <v>7</v>
      </c>
      <c r="C60" s="14" t="s">
        <v>31</v>
      </c>
      <c r="D60" s="14" t="s">
        <v>238</v>
      </c>
      <c r="E60" s="14" t="s">
        <v>239</v>
      </c>
      <c r="F60" s="16" t="s">
        <v>240</v>
      </c>
      <c r="G60" s="16" t="s">
        <v>241</v>
      </c>
      <c r="H60" s="14" t="s">
        <v>68</v>
      </c>
      <c r="I60" s="17"/>
    </row>
    <row r="61" customFormat="false" ht="17.15" hidden="false" customHeight="false" outlineLevel="0" collapsed="false">
      <c r="A61" s="14" t="s">
        <v>6</v>
      </c>
      <c r="B61" s="15" t="n">
        <v>7</v>
      </c>
      <c r="C61" s="14" t="s">
        <v>31</v>
      </c>
      <c r="D61" s="14" t="s">
        <v>238</v>
      </c>
      <c r="E61" s="14" t="s">
        <v>242</v>
      </c>
      <c r="F61" s="16" t="s">
        <v>243</v>
      </c>
      <c r="G61" s="16" t="s">
        <v>244</v>
      </c>
      <c r="H61" s="14" t="s">
        <v>68</v>
      </c>
      <c r="I61" s="17"/>
    </row>
    <row r="62" customFormat="false" ht="17.15" hidden="false" customHeight="false" outlineLevel="0" collapsed="false">
      <c r="A62" s="14" t="s">
        <v>6</v>
      </c>
      <c r="B62" s="15" t="n">
        <v>7</v>
      </c>
      <c r="C62" s="14" t="s">
        <v>31</v>
      </c>
      <c r="D62" s="14" t="s">
        <v>238</v>
      </c>
      <c r="E62" s="14" t="s">
        <v>245</v>
      </c>
      <c r="F62" s="16" t="s">
        <v>246</v>
      </c>
      <c r="G62" s="16" t="s">
        <v>247</v>
      </c>
      <c r="H62" s="14" t="s">
        <v>68</v>
      </c>
      <c r="I62" s="17"/>
    </row>
    <row r="63" customFormat="false" ht="17.15" hidden="false" customHeight="false" outlineLevel="0" collapsed="false">
      <c r="A63" s="14" t="s">
        <v>6</v>
      </c>
      <c r="B63" s="15"/>
      <c r="C63" s="17" t="s">
        <v>58</v>
      </c>
      <c r="D63" s="14" t="s">
        <v>56</v>
      </c>
      <c r="E63" s="17" t="s">
        <v>57</v>
      </c>
      <c r="F63" s="16" t="s">
        <v>248</v>
      </c>
      <c r="G63" s="16" t="s">
        <v>249</v>
      </c>
      <c r="H63" s="14" t="s">
        <v>152</v>
      </c>
      <c r="I63" s="17" t="s">
        <v>250</v>
      </c>
    </row>
  </sheetData>
  <autoFilter ref="A1:I63"/>
  <conditionalFormatting sqref="A2:I63">
    <cfRule type="expression" priority="2" aboveAverage="0" equalAverage="0" bottom="0" percent="0" rank="0" text="" dxfId="6">
      <formula>$H2="구간 이동"</formula>
    </cfRule>
    <cfRule type="expression" priority="3" aboveAverage="0" equalAverage="0" bottom="0" percent="0" rank="0" text="" dxfId="7">
      <formula>$H2="추가"</formula>
    </cfRule>
    <cfRule type="expression" priority="4" aboveAverage="0" equalAverage="0" bottom="0" percent="0" rank="0" text="" dxfId="8">
      <formula>$H2="신규"</formula>
    </cfRule>
    <cfRule type="expression" priority="5" aboveAverage="0" equalAverage="0" bottom="0" percent="0" rank="0" text="" dxfId="9">
      <formula>$H2="탭 밖 이동"</formula>
    </cfRule>
  </conditionalFormatting>
  <dataValidations count="1">
    <dataValidation allowBlank="false" errorStyle="stop" operator="between" showDropDown="false" showErrorMessage="false" showInputMessage="false" sqref="H2:H63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2026-10-16T13:30:13Z</dcterms:created>
  <dc:creator>openpyxl</dc:creator>
  <dc:description/>
  <dc:language>en-US</dc:language>
  <cp:lastModifiedBy/>
  <dcterms:modified xsi:type="dcterms:W3CDTF">2026-10-16T13:30:13Z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