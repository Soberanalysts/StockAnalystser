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확인 필요" sheetId="3" state="visible" r:id="rId5"/>
    <sheet name="종목 목록" sheetId="4" state="visible" r:id="rId6"/>
  </sheets>
  <definedNames>
    <definedName function="false" hidden="true" localSheetId="3" name="_xlnm._FilterDatabase" vbProcedure="false">'종목 목록'!$A$1:$I$67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<sst xmlns="http://schemas.openxmlformats.org/spreadsheetml/2006/main" count="760" uniqueCount="252">
  <si>
    <r>
      <rPr>
        <b val="true"/>
        <sz val="14"/>
        <rFont val="Arial"/>
        <family val="0"/>
        <charset val="1"/>
      </rPr>
      <t xml:space="preserve">06 2</t>
    </r>
    <r>
      <rPr>
        <b val="true"/>
        <sz val="14"/>
        <rFont val="Noto Sans CJK SC"/>
        <family val="2"/>
      </rPr>
      <t xml:space="preserve">차전지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</si>
  <si>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신규 종목은 종목 목록 시트에 파란색으로 표시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</si>
  <si>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</si>
  <si>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</si>
  <si>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</si>
  <si>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</si>
  <si>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</si>
  <si>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</si>
  <si>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</si>
  <si>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</si>
  <si>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셀</t>
  </si>
  <si>
    <r>
      <rPr>
        <sz val="11"/>
        <rFont val="Noto Sans CJK SC"/>
        <family val="2"/>
      </rPr>
      <t xml:space="preserve">삼성</t>
    </r>
    <r>
      <rPr>
        <sz val="11"/>
        <rFont val="Arial"/>
        <family val="0"/>
        <charset val="1"/>
      </rPr>
      <t xml:space="preserve">SDI, LG</t>
    </r>
    <r>
      <rPr>
        <sz val="11"/>
        <rFont val="Noto Sans CJK SC"/>
        <family val="2"/>
      </rPr>
      <t xml:space="preserve">에너지솔루션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에스엠벡셀</t>
    </r>
    <r>
      <rPr>
        <sz val="11"/>
        <rFont val="Arial"/>
        <family val="0"/>
        <charset val="1"/>
      </rPr>
      <t xml:space="preserve">, SK</t>
    </r>
    <r>
      <rPr>
        <sz val="11"/>
        <rFont val="Noto Sans CJK SC"/>
        <family val="2"/>
      </rPr>
      <t xml:space="preserve">이노베이션</t>
    </r>
  </si>
  <si>
    <t xml:space="preserve">퀀텀스케이프</t>
  </si>
  <si>
    <r>
      <rPr>
        <sz val="11"/>
        <rFont val="Arial"/>
        <family val="0"/>
        <charset val="1"/>
      </rPr>
      <t xml:space="preserve">TDK, </t>
    </r>
    <r>
      <rPr>
        <sz val="11"/>
        <rFont val="Noto Sans CJK SC"/>
        <family val="2"/>
      </rPr>
      <t xml:space="preserve">파나소닉홀딩스</t>
    </r>
    <r>
      <rPr>
        <sz val="11"/>
        <rFont val="Arial"/>
        <family val="0"/>
        <charset val="1"/>
      </rPr>
      <t xml:space="preserve">, GS</t>
    </r>
    <r>
      <rPr>
        <sz val="11"/>
        <rFont val="Noto Sans CJK SC"/>
        <family val="2"/>
      </rPr>
      <t xml:space="preserve">유아사</t>
    </r>
  </si>
  <si>
    <t xml:space="preserve">양극재 소재</t>
  </si>
  <si>
    <r>
      <rPr>
        <sz val="11"/>
        <rFont val="Noto Sans CJK SC"/>
        <family val="2"/>
      </rPr>
      <t xml:space="preserve">에코프로비엠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삼아알미늄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이수스페셜티케미컬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포스코퓨처엠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엘앤에프</t>
    </r>
    <r>
      <rPr>
        <sz val="11"/>
        <rFont val="Arial"/>
        <family val="0"/>
        <charset val="1"/>
      </rPr>
      <t xml:space="preserve">, SK</t>
    </r>
    <r>
      <rPr>
        <sz val="11"/>
        <rFont val="Noto Sans CJK SC"/>
        <family val="2"/>
      </rPr>
      <t xml:space="preserve">아이이테크놀로지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코스모신소재</t>
    </r>
    <r>
      <rPr>
        <sz val="11"/>
        <rFont val="Arial"/>
        <family val="0"/>
        <charset val="1"/>
      </rPr>
      <t xml:space="preserve">, TCC</t>
    </r>
    <r>
      <rPr>
        <sz val="11"/>
        <rFont val="Noto Sans CJK SC"/>
        <family val="2"/>
      </rPr>
      <t xml:space="preserve">스틸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대주전자재료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엔켐</t>
    </r>
  </si>
  <si>
    <t xml:space="preserve">–</t>
  </si>
  <si>
    <t xml:space="preserve">스미토모금속광산</t>
  </si>
  <si>
    <t xml:space="preserve">리튬 광물</t>
  </si>
  <si>
    <r>
      <rPr>
        <sz val="11"/>
        <rFont val="Noto Sans CJK SC"/>
        <family val="2"/>
      </rPr>
      <t xml:space="preserve">에코프로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피노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후성</t>
    </r>
  </si>
  <si>
    <r>
      <rPr>
        <sz val="11"/>
        <rFont val="Noto Sans CJK SC"/>
        <family val="2"/>
      </rPr>
      <t xml:space="preserve">알버말</t>
    </r>
    <r>
      <rPr>
        <sz val="11"/>
        <rFont val="Arial"/>
        <family val="0"/>
        <charset val="1"/>
      </rPr>
      <t xml:space="preserve">, SQM </t>
    </r>
    <r>
      <rPr>
        <sz val="11"/>
        <rFont val="Noto Sans CJK SC"/>
        <family val="2"/>
      </rPr>
      <t xml:space="preserve">우선주 </t>
    </r>
    <r>
      <rPr>
        <sz val="11"/>
        <rFont val="Arial"/>
        <family val="0"/>
        <charset val="1"/>
      </rPr>
      <t xml:space="preserve">B(ADR)</t>
    </r>
  </si>
  <si>
    <t xml:space="preserve">장비</t>
  </si>
  <si>
    <r>
      <rPr>
        <sz val="11"/>
        <rFont val="Noto Sans CJK SC"/>
        <family val="2"/>
      </rPr>
      <t xml:space="preserve">펨트론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한빛레이저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케이엔에스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나인테크</t>
    </r>
    <r>
      <rPr>
        <sz val="11"/>
        <rFont val="Arial"/>
        <family val="0"/>
        <charset val="1"/>
      </rPr>
      <t xml:space="preserve">, SFA</t>
    </r>
    <r>
      <rPr>
        <sz val="11"/>
        <rFont val="Noto Sans CJK SC"/>
        <family val="2"/>
      </rPr>
      <t xml:space="preserve">넥셀</t>
    </r>
  </si>
  <si>
    <t xml:space="preserve">ESS</t>
  </si>
  <si>
    <t xml:space="preserve">서진시스템</t>
  </si>
  <si>
    <t xml:space="preserve">플루언스 에너지</t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</si>
  <si>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</si>
  <si>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</si>
  <si>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</si>
  <si>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</si>
  <si>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</si>
  <si>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</si>
  <si>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로봇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소재</t>
    </r>
    <r>
      <rPr>
        <sz val="11"/>
        <rFont val="Arial"/>
        <family val="0"/>
        <charset val="1"/>
      </rPr>
      <t xml:space="preserve">)</t>
    </r>
  </si>
  <si>
    <t xml:space="preserve">에스피지</t>
  </si>
  <si>
    <r>
      <rPr>
        <sz val="11"/>
        <rFont val="Arial"/>
        <family val="0"/>
        <charset val="1"/>
      </rPr>
      <t xml:space="preserve">(05 </t>
    </r>
    <r>
      <rPr>
        <sz val="11"/>
        <rFont val="Noto Sans CJK SC"/>
        <family val="2"/>
      </rPr>
      <t xml:space="preserve">로봇 자동차</t>
    </r>
    <r>
      <rPr>
        <sz val="11"/>
        <rFont val="Arial"/>
        <family val="0"/>
        <charset val="1"/>
      </rPr>
      <t xml:space="preserve">)</t>
    </r>
  </si>
  <si>
    <t xml:space="preserve">나무가</t>
  </si>
  <si>
    <t xml:space="preserve">에스비비테크</t>
  </si>
  <si>
    <t xml:space="preserve">노바텍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</si>
  <si>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로봇</t>
    </r>
  </si>
  <si>
    <t xml:space="preserve">로보티즈</t>
  </si>
  <si>
    <t xml:space="preserve">삼현</t>
  </si>
  <si>
    <t xml:space="preserve">레인보우로보틱스</t>
  </si>
  <si>
    <t xml:space="preserve">현대무벡스</t>
  </si>
  <si>
    <t xml:space="preserve">두산로보틱스</t>
  </si>
  <si>
    <t xml:space="preserve">로보스타</t>
  </si>
  <si>
    <t xml:space="preserve">티엑스알로보틱스</t>
  </si>
  <si>
    <t xml:space="preserve">한라캐스트</t>
  </si>
  <si>
    <t xml:space="preserve">나우로보틱스</t>
  </si>
  <si>
    <t xml:space="preserve">코스모로보틱스</t>
  </si>
  <si>
    <t xml:space="preserve">뉴로메카</t>
  </si>
  <si>
    <t xml:space="preserve">화신정공</t>
  </si>
  <si>
    <t xml:space="preserve">화신</t>
  </si>
  <si>
    <t xml:space="preserve">휴림로봇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</si>
  <si>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SOFC</t>
    </r>
  </si>
  <si>
    <t xml:space="preserve">한선엔지니어링</t>
  </si>
  <si>
    <r>
      <rPr>
        <sz val="11"/>
        <rFont val="Arial"/>
        <family val="0"/>
        <charset val="1"/>
      </rPr>
      <t xml:space="preserve">(03 </t>
    </r>
    <r>
      <rPr>
        <sz val="11"/>
        <rFont val="Noto Sans CJK SC"/>
        <family val="2"/>
      </rPr>
      <t xml:space="preserve">에너지 이동 완료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</si>
  <si>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이터닉스</t>
    </r>
  </si>
  <si>
    <t xml:space="preserve">두산퓨얼셀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</si>
  <si>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자율주행</t>
    </r>
  </si>
  <si>
    <t xml:space="preserve">에이테크솔루션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</si>
  <si>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자동차</t>
    </r>
  </si>
  <si>
    <t xml:space="preserve">현대차</t>
  </si>
  <si>
    <t xml:space="preserve">기아</t>
  </si>
  <si>
    <r>
      <rPr>
        <sz val="11"/>
        <rFont val="Arial"/>
        <family val="0"/>
        <charset val="1"/>
      </rPr>
      <t xml:space="preserve">HL</t>
    </r>
    <r>
      <rPr>
        <sz val="11"/>
        <rFont val="Noto Sans CJK SC"/>
        <family val="2"/>
      </rPr>
      <t xml:space="preserve">만도</t>
    </r>
  </si>
  <si>
    <t xml:space="preserve">현대위아</t>
  </si>
  <si>
    <t xml:space="preserve">현대모비스</t>
  </si>
  <si>
    <r>
      <rPr>
        <sz val="11"/>
        <rFont val="Arial"/>
        <family val="0"/>
        <charset val="1"/>
      </rPr>
      <t xml:space="preserve">KG</t>
    </r>
    <r>
      <rPr>
        <sz val="11"/>
        <rFont val="Noto Sans CJK SC"/>
        <family val="2"/>
      </rPr>
      <t xml:space="preserve">파이낸셜</t>
    </r>
  </si>
  <si>
    <t xml:space="preserve">한온시스템</t>
  </si>
  <si>
    <t xml:space="preserve">디에스엠</t>
  </si>
  <si>
    <t xml:space="preserve">애경케미칼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</si>
  <si>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가전</t>
    </r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</si>
  <si>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전자</t>
    </r>
  </si>
  <si>
    <r>
      <rPr>
        <sz val="11"/>
        <rFont val="Arial"/>
        <family val="0"/>
        <charset val="1"/>
      </rPr>
      <t xml:space="preserve">(02 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)</t>
    </r>
  </si>
  <si>
    <t xml:space="preserve">성호전자</t>
  </si>
  <si>
    <t xml:space="preserve">에치에프알</t>
  </si>
  <si>
    <t xml:space="preserve">RFHIC</t>
  </si>
  <si>
    <r>
      <rPr>
        <sz val="11"/>
        <rFont val="Noto Sans CJK SC"/>
        <family val="2"/>
      </rPr>
      <t xml:space="preserve">일본 섹터별 종목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방산부품</t>
    </r>
  </si>
  <si>
    <t xml:space="preserve">TDK</t>
  </si>
  <si>
    <r>
      <rPr>
        <sz val="11"/>
        <rFont val="Arial"/>
        <family val="0"/>
        <charset val="1"/>
      </rPr>
      <t xml:space="preserve">06 2</t>
    </r>
    <r>
      <rPr>
        <sz val="11"/>
        <rFont val="Noto Sans CJK SC"/>
        <family val="2"/>
      </rPr>
      <t xml:space="preserve">차전지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셀</t>
    </r>
  </si>
  <si>
    <t xml:space="preserve">결정이 필요한 항목</t>
  </si>
  <si>
    <t xml:space="preserve">항목</t>
  </si>
  <si>
    <t xml:space="preserve">현재 처리</t>
  </si>
  <si>
    <t xml:space="preserve">검토 내용</t>
  </si>
  <si>
    <t xml:space="preserve">추천</t>
  </si>
  <si>
    <r>
      <rPr>
        <b val="true"/>
        <sz val="11"/>
        <color rgb="FFFFFFFF"/>
        <rFont val="Noto Sans CJK SC"/>
        <family val="2"/>
      </rPr>
      <t xml:space="preserve">결정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직접 입력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</si>
  <si>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후성</t>
  </si>
  <si>
    <r>
      <rPr>
        <sz val="11"/>
        <rFont val="Noto Sans CJK SC"/>
        <family val="2"/>
      </rPr>
      <t xml:space="preserve">리튬 광물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반도체 소재 탭과 중복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</si>
  <si>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실제로는 전해질</t>
    </r>
    <r>
      <rPr>
        <sz val="11"/>
        <rFont val="Arial"/>
        <family val="0"/>
        <charset val="1"/>
      </rPr>
      <t xml:space="preserve">(LiPF6)</t>
    </r>
    <r>
      <rPr>
        <sz val="11"/>
        <rFont val="Noto Sans CJK SC"/>
        <family val="2"/>
      </rPr>
      <t xml:space="preserve">과 불화수소</t>
    </r>
  </si>
  <si>
    <t xml:space="preserve">양극재 소재 구간으로 옮겨도 됨</t>
  </si>
  <si>
    <t xml:space="preserve">피노</t>
  </si>
  <si>
    <r>
      <rPr>
        <sz val="11"/>
        <rFont val="Noto Sans CJK SC"/>
        <family val="2"/>
      </rPr>
      <t xml:space="preserve">니켈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광물 사업</t>
    </r>
  </si>
  <si>
    <t xml:space="preserve">넣은 이유 확인</t>
  </si>
  <si>
    <r>
      <rPr>
        <sz val="11"/>
        <rFont val="Arial"/>
        <family val="0"/>
        <charset val="1"/>
      </rPr>
      <t xml:space="preserve">ESS (</t>
    </r>
    <r>
      <rPr>
        <sz val="11"/>
        <rFont val="Noto Sans CJK SC"/>
        <family val="2"/>
      </rPr>
      <t xml:space="preserve">에너지 탭 수소 구간과 중복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</si>
  <si>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ESS </t>
    </r>
    <r>
      <rPr>
        <sz val="11"/>
        <rFont val="Noto Sans CJK SC"/>
        <family val="2"/>
      </rPr>
      <t xml:space="preserve">함체 제조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플루언스 납품</t>
    </r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</si>
  <si>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에너지에서는 빼도 됨</t>
    </r>
  </si>
  <si>
    <r>
      <rPr>
        <sz val="11"/>
        <rFont val="Arial"/>
        <family val="0"/>
        <charset val="1"/>
      </rPr>
      <t xml:space="preserve">SOFC 3</t>
    </r>
    <r>
      <rPr>
        <sz val="11"/>
        <rFont val="Noto Sans CJK SC"/>
        <family val="2"/>
      </rPr>
      <t xml:space="preserve">종목</t>
    </r>
  </si>
  <si>
    <t xml:space="preserve">탭 밖 이동</t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</si>
  <si>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수소 연료전지에 이미 있음</t>
    </r>
  </si>
  <si>
    <t xml:space="preserve">제조 탭에서만 삭제</t>
  </si>
  <si>
    <r>
      <rPr>
        <sz val="11"/>
        <rFont val="Arial"/>
        <family val="0"/>
        <charset val="1"/>
      </rPr>
      <t xml:space="preserve">SFA</t>
    </r>
    <r>
      <rPr>
        <sz val="11"/>
        <rFont val="Noto Sans CJK SC"/>
        <family val="2"/>
      </rPr>
      <t xml:space="preserve">넥셀</t>
    </r>
  </si>
  <si>
    <t xml:space="preserve">물류 자동화 장비</t>
  </si>
  <si>
    <t xml:space="preserve">유지</t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</si>
  <si>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방산 → </t>
    </r>
    <r>
      <rPr>
        <sz val="11"/>
        <rFont val="Arial"/>
        <family val="0"/>
        <charset val="1"/>
      </rPr>
      <t xml:space="preserve">06 </t>
    </r>
    <r>
      <rPr>
        <sz val="11"/>
        <rFont val="Noto Sans CJK SC"/>
        <family val="2"/>
      </rPr>
      <t xml:space="preserve">셀</t>
    </r>
  </si>
  <si>
    <r>
      <rPr>
        <sz val="11"/>
        <rFont val="Noto Sans CJK SC"/>
        <family val="2"/>
      </rPr>
      <t xml:space="preserve">소형 배터리</t>
    </r>
    <r>
      <rPr>
        <sz val="11"/>
        <rFont val="Arial"/>
        <family val="0"/>
        <charset val="1"/>
      </rPr>
      <t xml:space="preserve">(ATL)</t>
    </r>
    <r>
      <rPr>
        <sz val="11"/>
        <rFont val="Noto Sans CJK SC"/>
        <family val="2"/>
      </rPr>
      <t xml:space="preserve">가 매출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</si>
  <si>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방산 부품에서 빼기</t>
    </r>
  </si>
  <si>
    <r>
      <rPr>
        <sz val="11"/>
        <rFont val="Noto Sans CJK SC"/>
        <family val="2"/>
      </rPr>
      <t xml:space="preserve">일장 신규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종목 코드</t>
    </r>
  </si>
  <si>
    <r>
      <rPr>
        <sz val="11"/>
        <rFont val="Noto Sans CJK SC"/>
        <family val="2"/>
      </rPr>
      <t xml:space="preserve">추가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코드 미검증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</si>
  <si>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파나소닉홀딩스</t>
    </r>
    <r>
      <rPr>
        <sz val="11"/>
        <rFont val="Arial"/>
        <family val="0"/>
        <charset val="1"/>
      </rPr>
      <t xml:space="preserve">, GS</t>
    </r>
    <r>
      <rPr>
        <sz val="11"/>
        <rFont val="Noto Sans CJK SC"/>
        <family val="2"/>
      </rPr>
      <t xml:space="preserve">유아사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스미토모금속광산</t>
    </r>
  </si>
  <si>
    <r>
      <rPr>
        <sz val="11"/>
        <rFont val="Noto Sans CJK SC"/>
        <family val="2"/>
      </rPr>
      <t xml:space="preserve">영웅문 </t>
    </r>
    <r>
      <rPr>
        <sz val="11"/>
        <rFont val="Arial"/>
        <family val="0"/>
        <charset val="1"/>
      </rPr>
      <t xml:space="preserve">Global</t>
    </r>
    <r>
      <rPr>
        <sz val="11"/>
        <rFont val="Noto Sans CJK SC"/>
        <family val="2"/>
      </rPr>
      <t xml:space="preserve">에서 종목명 확인</t>
    </r>
  </si>
  <si>
    <r>
      <rPr>
        <b val="true"/>
        <sz val="10"/>
        <rFont val="Noto Sans CJK SC"/>
        <family val="2"/>
      </rPr>
      <t xml:space="preserve">빈칸메모 입력 순서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셀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양극재 소재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리튬 광물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장비 </t>
    </r>
    <r>
      <rPr>
        <b val="true"/>
        <sz val="10"/>
        <rFont val="Arial"/>
        <family val="0"/>
        <charset val="1"/>
      </rPr>
      <t xml:space="preserve">/ ESS  (</t>
    </r>
    <r>
      <rPr>
        <b val="true"/>
        <sz val="10"/>
        <rFont val="Noto Sans CJK SC"/>
        <family val="2"/>
      </rPr>
      <t xml:space="preserve">미장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셀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리튬 광물 </t>
    </r>
    <r>
      <rPr>
        <b val="true"/>
        <sz val="10"/>
        <rFont val="Arial"/>
        <family val="0"/>
        <charset val="1"/>
      </rPr>
      <t xml:space="preserve">/ ESS, </t>
    </r>
    <r>
      <rPr>
        <b val="true"/>
        <sz val="10"/>
        <rFont val="Noto Sans CJK SC"/>
        <family val="2"/>
      </rPr>
      <t xml:space="preserve">일장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셀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양극재 소재</t>
    </r>
    <r>
      <rPr>
        <b val="true"/>
        <sz val="10"/>
        <rFont val="Arial"/>
        <family val="0"/>
        <charset val="1"/>
      </rPr>
      <t xml:space="preserve">)</t>
    </r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</si>
  <si>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</si>
  <si>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</si>
  <si>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</si>
  <si>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</si>
  <si>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</si>
  <si>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</si>
  <si>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2</t>
    </r>
    <r>
      <rPr>
        <sz val="11"/>
        <rFont val="Noto Sans CJK SC"/>
        <family val="2"/>
      </rPr>
      <t xml:space="preserve">차전지</t>
    </r>
  </si>
  <si>
    <r>
      <rPr>
        <sz val="11"/>
        <rFont val="Noto Sans CJK SC"/>
        <family val="2"/>
      </rPr>
      <t xml:space="preserve">삼성</t>
    </r>
    <r>
      <rPr>
        <sz val="11"/>
        <rFont val="Arial"/>
        <family val="0"/>
        <charset val="1"/>
      </rPr>
      <t xml:space="preserve">SDI</t>
    </r>
  </si>
  <si>
    <t xml:space="preserve">006400</t>
  </si>
  <si>
    <t xml:space="preserve">구간 이동</t>
  </si>
  <si>
    <t xml:space="preserve">로봇 배터리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</si>
  <si>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에너지솔루션</t>
    </r>
  </si>
  <si>
    <t xml:space="preserve">373220</t>
  </si>
  <si>
    <r>
      <rPr>
        <sz val="11"/>
        <rFont val="Noto Sans CJK SC"/>
        <family val="2"/>
      </rPr>
      <t xml:space="preserve">로봇 배터리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파나소닉 짝</t>
    </r>
  </si>
  <si>
    <t xml:space="preserve">에스엠벡셀</t>
  </si>
  <si>
    <t xml:space="preserve">010580</t>
  </si>
  <si>
    <r>
      <rPr>
        <sz val="11"/>
        <rFont val="Noto Sans CJK SC"/>
        <family val="2"/>
      </rPr>
      <t xml:space="preserve">군용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산업용 배터리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</si>
  <si>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이노베이션</t>
    </r>
  </si>
  <si>
    <t xml:space="preserve">096770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</si>
  <si>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온 모회사</t>
    </r>
  </si>
  <si>
    <t xml:space="preserve">에코프로비엠</t>
  </si>
  <si>
    <t xml:space="preserve">247540</t>
  </si>
  <si>
    <t xml:space="preserve">양극재</t>
  </si>
  <si>
    <t xml:space="preserve">삼아알미늄</t>
  </si>
  <si>
    <t xml:space="preserve">006110</t>
  </si>
  <si>
    <t xml:space="preserve">양극박</t>
  </si>
  <si>
    <t xml:space="preserve">이수스페셜티케미컬</t>
  </si>
  <si>
    <t xml:space="preserve">457190</t>
  </si>
  <si>
    <r>
      <rPr>
        <sz val="11"/>
        <rFont val="Noto Sans CJK SC"/>
        <family val="2"/>
      </rPr>
      <t xml:space="preserve">황화리튬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전고체</t>
    </r>
  </si>
  <si>
    <t xml:space="preserve">포스코퓨처엠</t>
  </si>
  <si>
    <t xml:space="preserve">003670</t>
  </si>
  <si>
    <r>
      <rPr>
        <sz val="11"/>
        <rFont val="Noto Sans CJK SC"/>
        <family val="2"/>
      </rPr>
      <t xml:space="preserve">양극재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음극재</t>
    </r>
  </si>
  <si>
    <t xml:space="preserve">엘앤에프</t>
  </si>
  <si>
    <t xml:space="preserve">066970</t>
  </si>
  <si>
    <r>
      <rPr>
        <sz val="11"/>
        <rFont val="Noto Sans CJK SC"/>
        <family val="2"/>
      </rPr>
      <t xml:space="preserve">양극재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테슬라 납품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</si>
  <si>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아이이테크놀로지</t>
    </r>
  </si>
  <si>
    <t xml:space="preserve">361610</t>
  </si>
  <si>
    <t xml:space="preserve">분리막</t>
  </si>
  <si>
    <t xml:space="preserve">코스모신소재</t>
  </si>
  <si>
    <t xml:space="preserve">005070</t>
  </si>
  <si>
    <r>
      <rPr>
        <sz val="11"/>
        <rFont val="Arial"/>
        <family val="0"/>
        <charset val="1"/>
      </rPr>
      <t xml:space="preserve">TCC</t>
    </r>
    <r>
      <rPr>
        <sz val="11"/>
        <rFont val="Noto Sans CJK SC"/>
        <family val="2"/>
      </rPr>
      <t xml:space="preserve">스틸</t>
    </r>
  </si>
  <si>
    <t xml:space="preserve">002710</t>
  </si>
  <si>
    <t xml:space="preserve">배터리 캔 강판</t>
  </si>
  <si>
    <t xml:space="preserve">대주전자재료</t>
  </si>
  <si>
    <t xml:space="preserve">078600</t>
  </si>
  <si>
    <r>
      <rPr>
        <sz val="11"/>
        <rFont val="Noto Sans CJK SC"/>
        <family val="2"/>
      </rPr>
      <t xml:space="preserve">실리콘 음극재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 탭 중복</t>
    </r>
  </si>
  <si>
    <r>
      <rPr>
        <sz val="11"/>
        <rFont val="Noto Sans CJK SC"/>
        <family val="2"/>
      </rPr>
      <t xml:space="preserve">신규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</si>
  <si>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엔켐</t>
  </si>
  <si>
    <t xml:space="preserve">348370</t>
  </si>
  <si>
    <t xml:space="preserve">신규</t>
  </si>
  <si>
    <t xml:space="preserve">전해액</t>
  </si>
  <si>
    <t xml:space="preserve">에코프로</t>
  </si>
  <si>
    <t xml:space="preserve">086520</t>
  </si>
  <si>
    <r>
      <rPr>
        <sz val="11"/>
        <rFont val="Noto Sans CJK SC"/>
        <family val="2"/>
      </rPr>
      <t xml:space="preserve">에코프로비엠 모회사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리튬 가공</t>
    </r>
  </si>
  <si>
    <t xml:space="preserve">033790</t>
  </si>
  <si>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니켈 광물</t>
    </r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</si>
  <si>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리튬</t>
    </r>
  </si>
  <si>
    <t xml:space="preserve">093370</t>
  </si>
  <si>
    <r>
      <rPr>
        <sz val="11"/>
        <rFont val="Noto Sans CJK SC"/>
        <family val="2"/>
      </rPr>
      <t xml:space="preserve">실제로는 전해질</t>
    </r>
    <r>
      <rPr>
        <sz val="11"/>
        <rFont val="Arial"/>
        <family val="0"/>
        <charset val="1"/>
      </rPr>
      <t xml:space="preserve">(LiPF6), </t>
    </r>
    <r>
      <rPr>
        <sz val="11"/>
        <rFont val="Noto Sans CJK SC"/>
        <family val="2"/>
      </rPr>
      <t xml:space="preserve">반도체 소재 탭과 중복</t>
    </r>
  </si>
  <si>
    <t xml:space="preserve">펨트론</t>
  </si>
  <si>
    <t xml:space="preserve">168360</t>
  </si>
  <si>
    <t xml:space="preserve">검사장비</t>
  </si>
  <si>
    <t xml:space="preserve">한빛레이저</t>
  </si>
  <si>
    <t xml:space="preserve">452190</t>
  </si>
  <si>
    <t xml:space="preserve">레이저 용접</t>
  </si>
  <si>
    <t xml:space="preserve">케이엔에스</t>
  </si>
  <si>
    <t xml:space="preserve">432470</t>
  </si>
  <si>
    <t xml:space="preserve">조립 장비</t>
  </si>
  <si>
    <t xml:space="preserve">나인테크</t>
  </si>
  <si>
    <t xml:space="preserve">267320</t>
  </si>
  <si>
    <t xml:space="preserve">라미네이션 장비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</si>
  <si>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2</t>
    </r>
    <r>
      <rPr>
        <sz val="11"/>
        <rFont val="Noto Sans CJK SC"/>
        <family val="2"/>
      </rPr>
      <t xml:space="preserve">차전지 장비</t>
    </r>
  </si>
  <si>
    <t xml:space="preserve">222080</t>
  </si>
  <si>
    <t xml:space="preserve">물류 자동화</t>
  </si>
  <si>
    <t xml:space="preserve">178320</t>
  </si>
  <si>
    <r>
      <rPr>
        <sz val="11"/>
        <rFont val="Arial"/>
        <family val="0"/>
        <charset val="1"/>
      </rPr>
      <t xml:space="preserve">ESS </t>
    </r>
    <r>
      <rPr>
        <sz val="11"/>
        <rFont val="Noto Sans CJK SC"/>
        <family val="2"/>
      </rPr>
      <t xml:space="preserve">함체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플루언스 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 탭 중복</t>
    </r>
  </si>
  <si>
    <t xml:space="preserve">058610</t>
  </si>
  <si>
    <r>
      <rPr>
        <sz val="11"/>
        <rFont val="Arial"/>
        <family val="0"/>
        <charset val="1"/>
      </rPr>
      <t xml:space="preserve">05 </t>
    </r>
    <r>
      <rPr>
        <sz val="11"/>
        <rFont val="Noto Sans CJK SC"/>
        <family val="2"/>
      </rPr>
      <t xml:space="preserve">탭으로</t>
    </r>
  </si>
  <si>
    <t xml:space="preserve">190510</t>
  </si>
  <si>
    <t xml:space="preserve">389500</t>
  </si>
  <si>
    <t xml:space="preserve">285490</t>
  </si>
  <si>
    <t xml:space="preserve">108490</t>
  </si>
  <si>
    <t xml:space="preserve">437730</t>
  </si>
  <si>
    <t xml:space="preserve">277810</t>
  </si>
  <si>
    <t xml:space="preserve">319400</t>
  </si>
  <si>
    <t xml:space="preserve">454910</t>
  </si>
  <si>
    <t xml:space="preserve">090360</t>
  </si>
  <si>
    <t xml:space="preserve">484810</t>
  </si>
  <si>
    <t xml:space="preserve">125490</t>
  </si>
  <si>
    <t xml:space="preserve">459510</t>
  </si>
  <si>
    <t xml:space="preserve">439960</t>
  </si>
  <si>
    <t xml:space="preserve">348340</t>
  </si>
  <si>
    <t xml:space="preserve">126640</t>
  </si>
  <si>
    <t xml:space="preserve">010690</t>
  </si>
  <si>
    <t xml:space="preserve">090710</t>
  </si>
  <si>
    <t xml:space="preserve">452280</t>
  </si>
  <si>
    <t xml:space="preserve">475150</t>
  </si>
  <si>
    <t xml:space="preserve">336260</t>
  </si>
  <si>
    <t xml:space="preserve">071670</t>
  </si>
  <si>
    <t xml:space="preserve">005380</t>
  </si>
  <si>
    <t xml:space="preserve">000270</t>
  </si>
  <si>
    <t xml:space="preserve">204320</t>
  </si>
  <si>
    <t xml:space="preserve">011210</t>
  </si>
  <si>
    <t xml:space="preserve">012330</t>
  </si>
  <si>
    <t xml:space="preserve">046440</t>
  </si>
  <si>
    <t xml:space="preserve">018880</t>
  </si>
  <si>
    <t xml:space="preserve">104040</t>
  </si>
  <si>
    <t xml:space="preserve">161000</t>
  </si>
  <si>
    <t xml:space="preserve">066570</t>
  </si>
  <si>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탭에 이미 있음</t>
    </r>
  </si>
  <si>
    <t xml:space="preserve">043260</t>
  </si>
  <si>
    <t xml:space="preserve">230240</t>
  </si>
  <si>
    <t xml:space="preserve">218410</t>
  </si>
  <si>
    <t xml:space="preserve">QS</t>
  </si>
  <si>
    <t xml:space="preserve">NDQS</t>
  </si>
  <si>
    <t xml:space="preserve">전고체 배터리</t>
  </si>
  <si>
    <t xml:space="preserve">알버말</t>
  </si>
  <si>
    <t xml:space="preserve">ALB</t>
  </si>
  <si>
    <t xml:space="preserve">NYALB</t>
  </si>
  <si>
    <r>
      <rPr>
        <sz val="11"/>
        <rFont val="Noto Sans CJK SC"/>
        <family val="2"/>
      </rPr>
      <t xml:space="preserve">리튬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에코프로 짝</t>
    </r>
  </si>
  <si>
    <r>
      <rPr>
        <sz val="11"/>
        <rFont val="Arial"/>
        <family val="0"/>
        <charset val="1"/>
      </rPr>
      <t xml:space="preserve">SQM </t>
    </r>
    <r>
      <rPr>
        <sz val="11"/>
        <rFont val="Noto Sans CJK SC"/>
        <family val="2"/>
      </rPr>
      <t xml:space="preserve">우선주 </t>
    </r>
    <r>
      <rPr>
        <sz val="11"/>
        <rFont val="Arial"/>
        <family val="0"/>
        <charset val="1"/>
      </rPr>
      <t xml:space="preserve">B(ADR)</t>
    </r>
  </si>
  <si>
    <t xml:space="preserve">SQM</t>
  </si>
  <si>
    <t xml:space="preserve">NYSQM</t>
  </si>
  <si>
    <t xml:space="preserve">칠레 리튬</t>
  </si>
  <si>
    <t xml:space="preserve">FLNC</t>
  </si>
  <si>
    <t xml:space="preserve">NDFLNC</t>
  </si>
  <si>
    <r>
      <rPr>
        <sz val="11"/>
        <rFont val="Arial"/>
        <family val="0"/>
        <charset val="1"/>
      </rPr>
      <t xml:space="preserve">ESS 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서진시스템 짝</t>
    </r>
  </si>
  <si>
    <t xml:space="preserve">06762</t>
  </si>
  <si>
    <t xml:space="preserve">W06762</t>
  </si>
  <si>
    <t xml:space="preserve">추가</t>
  </si>
  <si>
    <r>
      <rPr>
        <sz val="11"/>
        <rFont val="Arial"/>
        <family val="0"/>
        <charset val="1"/>
      </rPr>
      <t xml:space="preserve">04 </t>
    </r>
    <r>
      <rPr>
        <sz val="11"/>
        <rFont val="Noto Sans CJK SC"/>
        <family val="2"/>
      </rPr>
      <t xml:space="preserve">방산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스마트폰 소형 배터리</t>
    </r>
    <r>
      <rPr>
        <sz val="11"/>
        <rFont val="Arial"/>
        <family val="0"/>
        <charset val="1"/>
      </rPr>
      <t xml:space="preserve">(ATL)</t>
    </r>
  </si>
  <si>
    <t xml:space="preserve">파나소닉홀딩스</t>
  </si>
  <si>
    <t xml:space="preserve">06752</t>
  </si>
  <si>
    <t xml:space="preserve">W06752</t>
  </si>
  <si>
    <r>
      <rPr>
        <sz val="11"/>
        <rFont val="Noto Sans CJK SC"/>
        <family val="2"/>
      </rPr>
      <t xml:space="preserve">테슬라 배터리</t>
    </r>
    <r>
      <rPr>
        <sz val="11"/>
        <rFont val="Arial"/>
        <family val="0"/>
        <charset val="1"/>
      </rPr>
      <t xml:space="preserve">, LG</t>
    </r>
    <r>
      <rPr>
        <sz val="11"/>
        <rFont val="Noto Sans CJK SC"/>
        <family val="2"/>
      </rPr>
      <t xml:space="preserve">엔솔 짝</t>
    </r>
  </si>
  <si>
    <r>
      <rPr>
        <sz val="11"/>
        <rFont val="Arial"/>
        <family val="0"/>
        <charset val="1"/>
      </rPr>
      <t xml:space="preserve">GS</t>
    </r>
    <r>
      <rPr>
        <sz val="11"/>
        <rFont val="Noto Sans CJK SC"/>
        <family val="2"/>
      </rPr>
      <t xml:space="preserve">유아사</t>
    </r>
  </si>
  <si>
    <t xml:space="preserve">06674</t>
  </si>
  <si>
    <t xml:space="preserve">W06674</t>
  </si>
  <si>
    <r>
      <rPr>
        <sz val="11"/>
        <rFont val="Noto Sans CJK SC"/>
        <family val="2"/>
      </rPr>
      <t xml:space="preserve">산업용</t>
    </r>
    <r>
      <rPr>
        <sz val="11"/>
        <rFont val="Arial"/>
        <family val="0"/>
        <charset val="1"/>
      </rPr>
      <t xml:space="preserve">·ESS </t>
    </r>
    <r>
      <rPr>
        <sz val="11"/>
        <rFont val="Noto Sans CJK SC"/>
        <family val="2"/>
      </rPr>
      <t xml:space="preserve">배터리</t>
    </r>
  </si>
  <si>
    <t xml:space="preserve">05713</t>
  </si>
  <si>
    <t xml:space="preserve">W05713</t>
  </si>
  <si>
    <r>
      <rPr>
        <sz val="11"/>
        <rFont val="Noto Sans CJK SC"/>
        <family val="2"/>
      </rPr>
      <t xml:space="preserve">니켈 양극재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에코프로비엠 짝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</si>
</sst>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5" min="3" style="0" width="7"/>
    <col collapsed="false" customWidth="true" hidden="false" outlineLevel="0" max="6" min="6" style="0" width="56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7.15" hidden="false" customHeight="false" outlineLevel="0" collapsed="false">
      <c r="A5" s="4" t="n">
        <v>1</v>
      </c>
      <c r="B5" s="5" t="s">
        <v>10</v>
      </c>
      <c r="C5" s="4" t="n">
        <f aca="false">COUNTIFS('종목 목록'!$A$2:$A$67,"국장",'종목 목록'!$C$2:$C$67,$B5,'종목 목록'!$H$2:$H$67,"&lt;&gt;탭 밖 이동")</f>
        <v>4</v>
      </c>
      <c r="D5" s="4" t="n">
        <f aca="false">COUNTIFS('종목 목록'!$A$2:$A$67,"미장",'종목 목록'!$C$2:$C$67,$B5,'종목 목록'!$H$2:$H$67,"&lt;&gt;탭 밖 이동")</f>
        <v>1</v>
      </c>
      <c r="E5" s="4" t="n">
        <f aca="false">COUNTIFS('종목 목록'!$A$2:$A$67,"일장",'종목 목록'!$C$2:$C$67,$B5,'종목 목록'!$H$2:$H$67,"&lt;&gt;탭 밖 이동")</f>
        <v>3</v>
      </c>
      <c r="F5" s="6" t="s">
        <v>11</v>
      </c>
      <c r="G5" s="6" t="s">
        <v>12</v>
      </c>
      <c r="H5" s="7" t="s">
        <v>13</v>
      </c>
    </row>
    <row r="6" customFormat="false" ht="48.5" hidden="false" customHeight="false" outlineLevel="0" collapsed="false">
      <c r="A6" s="4" t="n">
        <v>2</v>
      </c>
      <c r="B6" s="5" t="s">
        <v>14</v>
      </c>
      <c r="C6" s="4" t="n">
        <f aca="false">COUNTIFS('종목 목록'!$A$2:$A$67,"국장",'종목 목록'!$C$2:$C$67,$B6,'종목 목록'!$H$2:$H$67,"&lt;&gt;탭 밖 이동")</f>
        <v>10</v>
      </c>
      <c r="D6" s="4" t="n">
        <f aca="false">COUNTIFS('종목 목록'!$A$2:$A$67,"미장",'종목 목록'!$C$2:$C$67,$B6,'종목 목록'!$H$2:$H$67,"&lt;&gt;탭 밖 이동")</f>
        <v>0</v>
      </c>
      <c r="E6" s="4" t="n">
        <f aca="false">COUNTIFS('종목 목록'!$A$2:$A$67,"일장",'종목 목록'!$C$2:$C$67,$B6,'종목 목록'!$H$2:$H$67,"&lt;&gt;탭 밖 이동")</f>
        <v>1</v>
      </c>
      <c r="F6" s="6" t="s">
        <v>15</v>
      </c>
      <c r="G6" s="7" t="s">
        <v>16</v>
      </c>
      <c r="H6" s="6" t="s">
        <v>17</v>
      </c>
    </row>
    <row r="7" customFormat="false" ht="17.15" hidden="false" customHeight="false" outlineLevel="0" collapsed="false">
      <c r="A7" s="4" t="n">
        <v>3</v>
      </c>
      <c r="B7" s="5" t="s">
        <v>18</v>
      </c>
      <c r="C7" s="4" t="n">
        <f aca="false">COUNTIFS('종목 목록'!$A$2:$A$67,"국장",'종목 목록'!$C$2:$C$67,$B7,'종목 목록'!$H$2:$H$67,"&lt;&gt;탭 밖 이동")</f>
        <v>3</v>
      </c>
      <c r="D7" s="4" t="n">
        <f aca="false">COUNTIFS('종목 목록'!$A$2:$A$67,"미장",'종목 목록'!$C$2:$C$67,$B7,'종목 목록'!$H$2:$H$67,"&lt;&gt;탭 밖 이동")</f>
        <v>2</v>
      </c>
      <c r="E7" s="4" t="n">
        <f aca="false">COUNTIFS('종목 목록'!$A$2:$A$67,"일장",'종목 목록'!$C$2:$C$67,$B7,'종목 목록'!$H$2:$H$67,"&lt;&gt;탭 밖 이동")</f>
        <v>0</v>
      </c>
      <c r="F7" s="6" t="s">
        <v>19</v>
      </c>
      <c r="G7" s="6" t="s">
        <v>20</v>
      </c>
      <c r="H7" s="7" t="s">
        <v>16</v>
      </c>
    </row>
    <row r="8" customFormat="false" ht="17.15" hidden="false" customHeight="false" outlineLevel="0" collapsed="false">
      <c r="A8" s="4" t="n">
        <v>4</v>
      </c>
      <c r="B8" s="5" t="s">
        <v>21</v>
      </c>
      <c r="C8" s="4" t="n">
        <f aca="false">COUNTIFS('종목 목록'!$A$2:$A$67,"국장",'종목 목록'!$C$2:$C$67,$B8,'종목 목록'!$H$2:$H$67,"&lt;&gt;탭 밖 이동")</f>
        <v>5</v>
      </c>
      <c r="D8" s="4" t="n">
        <f aca="false">COUNTIFS('종목 목록'!$A$2:$A$67,"미장",'종목 목록'!$C$2:$C$67,$B8,'종목 목록'!$H$2:$H$67,"&lt;&gt;탭 밖 이동")</f>
        <v>0</v>
      </c>
      <c r="E8" s="4" t="n">
        <f aca="false">COUNTIFS('종목 목록'!$A$2:$A$67,"일장",'종목 목록'!$C$2:$C$67,$B8,'종목 목록'!$H$2:$H$67,"&lt;&gt;탭 밖 이동")</f>
        <v>0</v>
      </c>
      <c r="F8" s="6" t="s">
        <v>22</v>
      </c>
      <c r="G8" s="7" t="s">
        <v>16</v>
      </c>
      <c r="H8" s="7" t="s">
        <v>16</v>
      </c>
    </row>
    <row r="9" customFormat="false" ht="17.15" hidden="false" customHeight="false" outlineLevel="0" collapsed="false">
      <c r="A9" s="4" t="n">
        <v>5</v>
      </c>
      <c r="B9" s="8" t="s">
        <v>23</v>
      </c>
      <c r="C9" s="4" t="n">
        <f aca="false">COUNTIFS('종목 목록'!$A$2:$A$67,"국장",'종목 목록'!$C$2:$C$67,$B9,'종목 목록'!$H$2:$H$67,"&lt;&gt;탭 밖 이동")</f>
        <v>1</v>
      </c>
      <c r="D9" s="4" t="n">
        <f aca="false">COUNTIFS('종목 목록'!$A$2:$A$67,"미장",'종목 목록'!$C$2:$C$67,$B9,'종목 목록'!$H$2:$H$67,"&lt;&gt;탭 밖 이동")</f>
        <v>1</v>
      </c>
      <c r="E9" s="4" t="n">
        <f aca="false">COUNTIFS('종목 목록'!$A$2:$A$67,"일장",'종목 목록'!$C$2:$C$67,$B9,'종목 목록'!$H$2:$H$67,"&lt;&gt;탭 밖 이동")</f>
        <v>0</v>
      </c>
      <c r="F9" s="6" t="s">
        <v>24</v>
      </c>
      <c r="G9" s="6" t="s">
        <v>25</v>
      </c>
      <c r="H9" s="7" t="s">
        <v>16</v>
      </c>
    </row>
    <row r="10" customFormat="false" ht="15" hidden="false" customHeight="false" outlineLevel="0" collapsed="false">
      <c r="B10" s="9" t="s">
        <v>26</v>
      </c>
      <c r="C10" s="10" t="n">
        <f aca="false">SUM(C5:C9)</f>
        <v>23</v>
      </c>
      <c r="D10" s="10" t="n">
        <f aca="false">SUM(D5:D9)</f>
        <v>4</v>
      </c>
      <c r="E10" s="10" t="n">
        <f aca="false">SUM(E5:E9)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1" t="s">
        <v>27</v>
      </c>
    </row>
    <row r="3" customFormat="false" ht="15" hidden="false" customHeight="false" outlineLevel="0" collapsed="false">
      <c r="A3" s="12" t="s">
        <v>28</v>
      </c>
      <c r="B3" s="12" t="s">
        <v>29</v>
      </c>
      <c r="C3" s="12" t="s">
        <v>30</v>
      </c>
      <c r="D3" s="12" t="s">
        <v>31</v>
      </c>
    </row>
    <row r="4" customFormat="false" ht="17.15" hidden="false" customHeight="false" outlineLevel="0" collapsed="false">
      <c r="A4" s="13" t="s">
        <v>4</v>
      </c>
      <c r="B4" s="13" t="s">
        <v>32</v>
      </c>
      <c r="C4" s="13" t="s">
        <v>33</v>
      </c>
      <c r="D4" s="14" t="s">
        <v>34</v>
      </c>
    </row>
    <row r="5" customFormat="false" ht="17.15" hidden="false" customHeight="false" outlineLevel="0" collapsed="false">
      <c r="A5" s="13" t="s">
        <v>4</v>
      </c>
      <c r="B5" s="13" t="s">
        <v>32</v>
      </c>
      <c r="C5" s="13" t="s">
        <v>35</v>
      </c>
      <c r="D5" s="14" t="s">
        <v>34</v>
      </c>
    </row>
    <row r="6" customFormat="false" ht="17.15" hidden="false" customHeight="false" outlineLevel="0" collapsed="false">
      <c r="A6" s="13" t="s">
        <v>4</v>
      </c>
      <c r="B6" s="13" t="s">
        <v>32</v>
      </c>
      <c r="C6" s="13" t="s">
        <v>36</v>
      </c>
      <c r="D6" s="14" t="s">
        <v>34</v>
      </c>
    </row>
    <row r="7" customFormat="false" ht="17.15" hidden="false" customHeight="false" outlineLevel="0" collapsed="false">
      <c r="A7" s="13" t="s">
        <v>4</v>
      </c>
      <c r="B7" s="13" t="s">
        <v>32</v>
      </c>
      <c r="C7" s="13" t="s">
        <v>37</v>
      </c>
      <c r="D7" s="14" t="s">
        <v>34</v>
      </c>
    </row>
    <row r="8" customFormat="false" ht="17.15" hidden="false" customHeight="false" outlineLevel="0" collapsed="false">
      <c r="A8" s="13" t="s">
        <v>4</v>
      </c>
      <c r="B8" s="13" t="s">
        <v>38</v>
      </c>
      <c r="C8" s="13" t="s">
        <v>39</v>
      </c>
      <c r="D8" s="14" t="s">
        <v>34</v>
      </c>
    </row>
    <row r="9" customFormat="false" ht="17.15" hidden="false" customHeight="false" outlineLevel="0" collapsed="false">
      <c r="A9" s="13" t="s">
        <v>4</v>
      </c>
      <c r="B9" s="13" t="s">
        <v>38</v>
      </c>
      <c r="C9" s="13" t="s">
        <v>40</v>
      </c>
      <c r="D9" s="14" t="s">
        <v>34</v>
      </c>
    </row>
    <row r="10" customFormat="false" ht="17.15" hidden="false" customHeight="false" outlineLevel="0" collapsed="false">
      <c r="A10" s="13" t="s">
        <v>4</v>
      </c>
      <c r="B10" s="13" t="s">
        <v>38</v>
      </c>
      <c r="C10" s="13" t="s">
        <v>41</v>
      </c>
      <c r="D10" s="14" t="s">
        <v>34</v>
      </c>
    </row>
    <row r="11" customFormat="false" ht="17.15" hidden="false" customHeight="false" outlineLevel="0" collapsed="false">
      <c r="A11" s="13" t="s">
        <v>4</v>
      </c>
      <c r="B11" s="13" t="s">
        <v>38</v>
      </c>
      <c r="C11" s="13" t="s">
        <v>42</v>
      </c>
      <c r="D11" s="14" t="s">
        <v>34</v>
      </c>
    </row>
    <row r="12" customFormat="false" ht="17.15" hidden="false" customHeight="false" outlineLevel="0" collapsed="false">
      <c r="A12" s="13" t="s">
        <v>4</v>
      </c>
      <c r="B12" s="13" t="s">
        <v>38</v>
      </c>
      <c r="C12" s="13" t="s">
        <v>43</v>
      </c>
      <c r="D12" s="14" t="s">
        <v>34</v>
      </c>
    </row>
    <row r="13" customFormat="false" ht="17.15" hidden="false" customHeight="false" outlineLevel="0" collapsed="false">
      <c r="A13" s="13" t="s">
        <v>4</v>
      </c>
      <c r="B13" s="13" t="s">
        <v>38</v>
      </c>
      <c r="C13" s="13" t="s">
        <v>44</v>
      </c>
      <c r="D13" s="14" t="s">
        <v>34</v>
      </c>
    </row>
    <row r="14" customFormat="false" ht="17.15" hidden="false" customHeight="false" outlineLevel="0" collapsed="false">
      <c r="A14" s="13" t="s">
        <v>4</v>
      </c>
      <c r="B14" s="13" t="s">
        <v>38</v>
      </c>
      <c r="C14" s="13" t="s">
        <v>45</v>
      </c>
      <c r="D14" s="14" t="s">
        <v>34</v>
      </c>
    </row>
    <row r="15" customFormat="false" ht="17.15" hidden="false" customHeight="false" outlineLevel="0" collapsed="false">
      <c r="A15" s="13" t="s">
        <v>4</v>
      </c>
      <c r="B15" s="13" t="s">
        <v>38</v>
      </c>
      <c r="C15" s="13" t="s">
        <v>46</v>
      </c>
      <c r="D15" s="14" t="s">
        <v>34</v>
      </c>
    </row>
    <row r="16" customFormat="false" ht="17.15" hidden="false" customHeight="false" outlineLevel="0" collapsed="false">
      <c r="A16" s="13" t="s">
        <v>4</v>
      </c>
      <c r="B16" s="13" t="s">
        <v>38</v>
      </c>
      <c r="C16" s="13" t="s">
        <v>47</v>
      </c>
      <c r="D16" s="14" t="s">
        <v>34</v>
      </c>
    </row>
    <row r="17" customFormat="false" ht="17.15" hidden="false" customHeight="false" outlineLevel="0" collapsed="false">
      <c r="A17" s="13" t="s">
        <v>4</v>
      </c>
      <c r="B17" s="13" t="s">
        <v>38</v>
      </c>
      <c r="C17" s="13" t="s">
        <v>48</v>
      </c>
      <c r="D17" s="14" t="s">
        <v>34</v>
      </c>
    </row>
    <row r="18" customFormat="false" ht="17.15" hidden="false" customHeight="false" outlineLevel="0" collapsed="false">
      <c r="A18" s="13" t="s">
        <v>4</v>
      </c>
      <c r="B18" s="13" t="s">
        <v>38</v>
      </c>
      <c r="C18" s="13" t="s">
        <v>49</v>
      </c>
      <c r="D18" s="14" t="s">
        <v>34</v>
      </c>
    </row>
    <row r="19" customFormat="false" ht="17.15" hidden="false" customHeight="false" outlineLevel="0" collapsed="false">
      <c r="A19" s="13" t="s">
        <v>4</v>
      </c>
      <c r="B19" s="13" t="s">
        <v>38</v>
      </c>
      <c r="C19" s="13" t="s">
        <v>50</v>
      </c>
      <c r="D19" s="14" t="s">
        <v>34</v>
      </c>
    </row>
    <row r="20" customFormat="false" ht="17.15" hidden="false" customHeight="false" outlineLevel="0" collapsed="false">
      <c r="A20" s="13" t="s">
        <v>4</v>
      </c>
      <c r="B20" s="13" t="s">
        <v>38</v>
      </c>
      <c r="C20" s="13" t="s">
        <v>51</v>
      </c>
      <c r="D20" s="14" t="s">
        <v>34</v>
      </c>
    </row>
    <row r="21" customFormat="false" ht="17.15" hidden="false" customHeight="false" outlineLevel="0" collapsed="false">
      <c r="A21" s="13" t="s">
        <v>4</v>
      </c>
      <c r="B21" s="13" t="s">
        <v>38</v>
      </c>
      <c r="C21" s="13" t="s">
        <v>52</v>
      </c>
      <c r="D21" s="14" t="s">
        <v>34</v>
      </c>
    </row>
    <row r="22" customFormat="false" ht="17.15" hidden="false" customHeight="false" outlineLevel="0" collapsed="false">
      <c r="A22" s="13" t="s">
        <v>4</v>
      </c>
      <c r="B22" s="13" t="s">
        <v>53</v>
      </c>
      <c r="C22" s="13" t="s">
        <v>54</v>
      </c>
      <c r="D22" s="14" t="s">
        <v>55</v>
      </c>
    </row>
    <row r="23" customFormat="false" ht="17.15" hidden="false" customHeight="false" outlineLevel="0" collapsed="false">
      <c r="A23" s="13" t="s">
        <v>4</v>
      </c>
      <c r="B23" s="13" t="s">
        <v>53</v>
      </c>
      <c r="C23" s="14" t="s">
        <v>56</v>
      </c>
      <c r="D23" s="14" t="s">
        <v>55</v>
      </c>
    </row>
    <row r="24" customFormat="false" ht="17.15" hidden="false" customHeight="false" outlineLevel="0" collapsed="false">
      <c r="A24" s="13" t="s">
        <v>4</v>
      </c>
      <c r="B24" s="13" t="s">
        <v>53</v>
      </c>
      <c r="C24" s="13" t="s">
        <v>57</v>
      </c>
      <c r="D24" s="14" t="s">
        <v>55</v>
      </c>
    </row>
    <row r="25" customFormat="false" ht="17.15" hidden="false" customHeight="false" outlineLevel="0" collapsed="false">
      <c r="A25" s="13" t="s">
        <v>4</v>
      </c>
      <c r="B25" s="13" t="s">
        <v>58</v>
      </c>
      <c r="C25" s="13" t="s">
        <v>59</v>
      </c>
      <c r="D25" s="14" t="s">
        <v>34</v>
      </c>
    </row>
    <row r="26" customFormat="false" ht="17.15" hidden="false" customHeight="false" outlineLevel="0" collapsed="false">
      <c r="A26" s="13" t="s">
        <v>4</v>
      </c>
      <c r="B26" s="13" t="s">
        <v>60</v>
      </c>
      <c r="C26" s="13" t="s">
        <v>61</v>
      </c>
      <c r="D26" s="14" t="s">
        <v>34</v>
      </c>
    </row>
    <row r="27" customFormat="false" ht="17.15" hidden="false" customHeight="false" outlineLevel="0" collapsed="false">
      <c r="A27" s="13" t="s">
        <v>4</v>
      </c>
      <c r="B27" s="13" t="s">
        <v>60</v>
      </c>
      <c r="C27" s="13" t="s">
        <v>62</v>
      </c>
      <c r="D27" s="14" t="s">
        <v>34</v>
      </c>
    </row>
    <row r="28" customFormat="false" ht="17.15" hidden="false" customHeight="false" outlineLevel="0" collapsed="false">
      <c r="A28" s="13" t="s">
        <v>4</v>
      </c>
      <c r="B28" s="13" t="s">
        <v>60</v>
      </c>
      <c r="C28" s="14" t="s">
        <v>63</v>
      </c>
      <c r="D28" s="14" t="s">
        <v>34</v>
      </c>
    </row>
    <row r="29" customFormat="false" ht="17.15" hidden="false" customHeight="false" outlineLevel="0" collapsed="false">
      <c r="A29" s="13" t="s">
        <v>4</v>
      </c>
      <c r="B29" s="13" t="s">
        <v>60</v>
      </c>
      <c r="C29" s="13" t="s">
        <v>64</v>
      </c>
      <c r="D29" s="14" t="s">
        <v>34</v>
      </c>
    </row>
    <row r="30" customFormat="false" ht="17.15" hidden="false" customHeight="false" outlineLevel="0" collapsed="false">
      <c r="A30" s="13" t="s">
        <v>4</v>
      </c>
      <c r="B30" s="13" t="s">
        <v>60</v>
      </c>
      <c r="C30" s="13" t="s">
        <v>65</v>
      </c>
      <c r="D30" s="14" t="s">
        <v>34</v>
      </c>
    </row>
    <row r="31" customFormat="false" ht="17.15" hidden="false" customHeight="false" outlineLevel="0" collapsed="false">
      <c r="A31" s="13" t="s">
        <v>4</v>
      </c>
      <c r="B31" s="13" t="s">
        <v>60</v>
      </c>
      <c r="C31" s="14" t="s">
        <v>66</v>
      </c>
      <c r="D31" s="14" t="s">
        <v>34</v>
      </c>
    </row>
    <row r="32" customFormat="false" ht="17.15" hidden="false" customHeight="false" outlineLevel="0" collapsed="false">
      <c r="A32" s="13" t="s">
        <v>4</v>
      </c>
      <c r="B32" s="13" t="s">
        <v>60</v>
      </c>
      <c r="C32" s="13" t="s">
        <v>67</v>
      </c>
      <c r="D32" s="14" t="s">
        <v>34</v>
      </c>
    </row>
    <row r="33" customFormat="false" ht="17.15" hidden="false" customHeight="false" outlineLevel="0" collapsed="false">
      <c r="A33" s="13" t="s">
        <v>4</v>
      </c>
      <c r="B33" s="13" t="s">
        <v>60</v>
      </c>
      <c r="C33" s="13" t="s">
        <v>68</v>
      </c>
      <c r="D33" s="14" t="s">
        <v>34</v>
      </c>
    </row>
    <row r="34" customFormat="false" ht="17.15" hidden="false" customHeight="false" outlineLevel="0" collapsed="false">
      <c r="A34" s="13" t="s">
        <v>4</v>
      </c>
      <c r="B34" s="13" t="s">
        <v>60</v>
      </c>
      <c r="C34" s="13" t="s">
        <v>69</v>
      </c>
      <c r="D34" s="14" t="s">
        <v>34</v>
      </c>
    </row>
    <row r="35" customFormat="false" ht="17.15" hidden="false" customHeight="false" outlineLevel="0" collapsed="false">
      <c r="A35" s="13" t="s">
        <v>4</v>
      </c>
      <c r="B35" s="13" t="s">
        <v>70</v>
      </c>
      <c r="C35" s="14" t="s">
        <v>71</v>
      </c>
      <c r="D35" s="14" t="s">
        <v>72</v>
      </c>
    </row>
    <row r="36" customFormat="false" ht="17.15" hidden="false" customHeight="false" outlineLevel="0" collapsed="false">
      <c r="A36" s="13" t="s">
        <v>4</v>
      </c>
      <c r="B36" s="13" t="s">
        <v>70</v>
      </c>
      <c r="C36" s="13" t="s">
        <v>73</v>
      </c>
      <c r="D36" s="14" t="s">
        <v>72</v>
      </c>
    </row>
    <row r="37" customFormat="false" ht="17.15" hidden="false" customHeight="false" outlineLevel="0" collapsed="false">
      <c r="A37" s="13" t="s">
        <v>4</v>
      </c>
      <c r="B37" s="13" t="s">
        <v>70</v>
      </c>
      <c r="C37" s="13" t="s">
        <v>74</v>
      </c>
      <c r="D37" s="14" t="s">
        <v>72</v>
      </c>
    </row>
    <row r="38" customFormat="false" ht="17.15" hidden="false" customHeight="false" outlineLevel="0" collapsed="false">
      <c r="A38" s="13" t="s">
        <v>4</v>
      </c>
      <c r="B38" s="13" t="s">
        <v>70</v>
      </c>
      <c r="C38" s="14" t="s">
        <v>75</v>
      </c>
      <c r="D38" s="14" t="s">
        <v>72</v>
      </c>
    </row>
    <row r="39" customFormat="false" ht="17.15" hidden="false" customHeight="false" outlineLevel="0" collapsed="false">
      <c r="A39" s="13" t="s">
        <v>6</v>
      </c>
      <c r="B39" s="13" t="s">
        <v>76</v>
      </c>
      <c r="C39" s="14" t="s">
        <v>77</v>
      </c>
      <c r="D39" s="14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1" t="s">
        <v>79</v>
      </c>
    </row>
    <row r="3" customFormat="false" ht="17.15" hidden="false" customHeight="false" outlineLevel="0" collapsed="false">
      <c r="A3" s="12" t="s">
        <v>80</v>
      </c>
      <c r="B3" s="12" t="s">
        <v>28</v>
      </c>
      <c r="C3" s="12" t="s">
        <v>81</v>
      </c>
      <c r="D3" s="12" t="s">
        <v>82</v>
      </c>
      <c r="E3" s="12" t="s">
        <v>83</v>
      </c>
      <c r="F3" s="12" t="s">
        <v>84</v>
      </c>
    </row>
    <row r="4" customFormat="false" ht="32.8" hidden="false" customHeight="false" outlineLevel="0" collapsed="false">
      <c r="A4" s="6" t="s">
        <v>85</v>
      </c>
      <c r="B4" s="6" t="s">
        <v>4</v>
      </c>
      <c r="C4" s="6" t="s">
        <v>86</v>
      </c>
      <c r="D4" s="6" t="s">
        <v>87</v>
      </c>
      <c r="E4" s="6" t="s">
        <v>88</v>
      </c>
      <c r="F4" s="15"/>
    </row>
    <row r="5" customFormat="false" ht="17.15" hidden="false" customHeight="false" outlineLevel="0" collapsed="false">
      <c r="A5" s="6" t="s">
        <v>89</v>
      </c>
      <c r="B5" s="6" t="s">
        <v>4</v>
      </c>
      <c r="C5" s="6" t="s">
        <v>18</v>
      </c>
      <c r="D5" s="6" t="s">
        <v>90</v>
      </c>
      <c r="E5" s="6" t="s">
        <v>91</v>
      </c>
      <c r="F5" s="15"/>
    </row>
    <row r="6" customFormat="false" ht="32.8" hidden="false" customHeight="false" outlineLevel="0" collapsed="false">
      <c r="A6" s="6" t="s">
        <v>24</v>
      </c>
      <c r="B6" s="6" t="s">
        <v>4</v>
      </c>
      <c r="C6" s="7" t="s">
        <v>92</v>
      </c>
      <c r="D6" s="7" t="s">
        <v>93</v>
      </c>
      <c r="E6" s="7" t="s">
        <v>94</v>
      </c>
      <c r="F6" s="15"/>
    </row>
    <row r="7" customFormat="false" ht="17.15" hidden="false" customHeight="false" outlineLevel="0" collapsed="false">
      <c r="A7" s="7" t="s">
        <v>95</v>
      </c>
      <c r="B7" s="6" t="s">
        <v>4</v>
      </c>
      <c r="C7" s="6" t="s">
        <v>96</v>
      </c>
      <c r="D7" s="7" t="s">
        <v>97</v>
      </c>
      <c r="E7" s="6" t="s">
        <v>98</v>
      </c>
      <c r="F7" s="15"/>
    </row>
    <row r="8" customFormat="false" ht="17.15" hidden="false" customHeight="false" outlineLevel="0" collapsed="false">
      <c r="A8" s="7" t="s">
        <v>99</v>
      </c>
      <c r="B8" s="6" t="s">
        <v>4</v>
      </c>
      <c r="C8" s="6" t="s">
        <v>21</v>
      </c>
      <c r="D8" s="6" t="s">
        <v>100</v>
      </c>
      <c r="E8" s="6" t="s">
        <v>101</v>
      </c>
      <c r="F8" s="15"/>
    </row>
    <row r="9" customFormat="false" ht="17.15" hidden="false" customHeight="false" outlineLevel="0" collapsed="false">
      <c r="A9" s="7" t="s">
        <v>77</v>
      </c>
      <c r="B9" s="6" t="s">
        <v>6</v>
      </c>
      <c r="C9" s="7" t="s">
        <v>102</v>
      </c>
      <c r="D9" s="6" t="s">
        <v>103</v>
      </c>
      <c r="E9" s="7" t="s">
        <v>104</v>
      </c>
      <c r="F9" s="15"/>
    </row>
    <row r="10" customFormat="false" ht="32.8" hidden="false" customHeight="false" outlineLevel="0" collapsed="false">
      <c r="A10" s="6" t="s">
        <v>105</v>
      </c>
      <c r="B10" s="6" t="s">
        <v>6</v>
      </c>
      <c r="C10" s="6" t="s">
        <v>106</v>
      </c>
      <c r="D10" s="6" t="s">
        <v>107</v>
      </c>
      <c r="E10" s="6" t="s">
        <v>108</v>
      </c>
      <c r="F10" s="15"/>
    </row>
    <row r="12" customFormat="false" ht="15" hidden="false" customHeight="false" outlineLevel="0" collapsed="false">
      <c r="A12" s="16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17.15" hidden="false" customHeight="false" outlineLevel="0" collapsed="false">
      <c r="A1" s="12" t="s">
        <v>28</v>
      </c>
      <c r="B1" s="12" t="s">
        <v>110</v>
      </c>
      <c r="C1" s="12" t="s">
        <v>3</v>
      </c>
      <c r="D1" s="12" t="s">
        <v>111</v>
      </c>
      <c r="E1" s="12" t="s">
        <v>30</v>
      </c>
      <c r="F1" s="12" t="s">
        <v>112</v>
      </c>
      <c r="G1" s="12" t="s">
        <v>113</v>
      </c>
      <c r="H1" s="12" t="s">
        <v>114</v>
      </c>
      <c r="I1" s="12" t="s">
        <v>115</v>
      </c>
    </row>
    <row r="2" customFormat="false" ht="17.15" hidden="false" customHeight="false" outlineLevel="0" collapsed="false">
      <c r="A2" s="17" t="s">
        <v>4</v>
      </c>
      <c r="B2" s="18" t="n">
        <v>1</v>
      </c>
      <c r="C2" s="17" t="s">
        <v>10</v>
      </c>
      <c r="D2" s="17" t="s">
        <v>116</v>
      </c>
      <c r="E2" s="17" t="s">
        <v>117</v>
      </c>
      <c r="F2" s="19" t="s">
        <v>118</v>
      </c>
      <c r="G2" s="19" t="s">
        <v>118</v>
      </c>
      <c r="H2" s="17" t="s">
        <v>119</v>
      </c>
      <c r="I2" s="17" t="s">
        <v>120</v>
      </c>
    </row>
    <row r="3" customFormat="false" ht="17.15" hidden="false" customHeight="false" outlineLevel="0" collapsed="false">
      <c r="A3" s="17" t="s">
        <v>4</v>
      </c>
      <c r="B3" s="18" t="n">
        <v>1</v>
      </c>
      <c r="C3" s="17" t="s">
        <v>10</v>
      </c>
      <c r="D3" s="17" t="s">
        <v>116</v>
      </c>
      <c r="E3" s="20" t="s">
        <v>121</v>
      </c>
      <c r="F3" s="19" t="s">
        <v>122</v>
      </c>
      <c r="G3" s="19" t="s">
        <v>122</v>
      </c>
      <c r="H3" s="17" t="s">
        <v>119</v>
      </c>
      <c r="I3" s="17" t="s">
        <v>123</v>
      </c>
    </row>
    <row r="4" customFormat="false" ht="17.15" hidden="false" customHeight="false" outlineLevel="0" collapsed="false">
      <c r="A4" s="17" t="s">
        <v>4</v>
      </c>
      <c r="B4" s="18" t="n">
        <v>1</v>
      </c>
      <c r="C4" s="17" t="s">
        <v>10</v>
      </c>
      <c r="D4" s="17" t="s">
        <v>116</v>
      </c>
      <c r="E4" s="17" t="s">
        <v>124</v>
      </c>
      <c r="F4" s="19" t="s">
        <v>125</v>
      </c>
      <c r="G4" s="19" t="s">
        <v>125</v>
      </c>
      <c r="H4" s="17" t="s">
        <v>119</v>
      </c>
      <c r="I4" s="17" t="s">
        <v>126</v>
      </c>
    </row>
    <row r="5" customFormat="false" ht="17.15" hidden="false" customHeight="false" outlineLevel="0" collapsed="false">
      <c r="A5" s="17" t="s">
        <v>4</v>
      </c>
      <c r="B5" s="18" t="n">
        <v>1</v>
      </c>
      <c r="C5" s="17" t="s">
        <v>10</v>
      </c>
      <c r="D5" s="17" t="s">
        <v>116</v>
      </c>
      <c r="E5" s="20" t="s">
        <v>127</v>
      </c>
      <c r="F5" s="19" t="s">
        <v>128</v>
      </c>
      <c r="G5" s="19" t="s">
        <v>128</v>
      </c>
      <c r="H5" s="17" t="s">
        <v>119</v>
      </c>
      <c r="I5" s="20" t="s">
        <v>129</v>
      </c>
    </row>
    <row r="6" customFormat="false" ht="17.15" hidden="false" customHeight="false" outlineLevel="0" collapsed="false">
      <c r="A6" s="17" t="s">
        <v>4</v>
      </c>
      <c r="B6" s="18" t="n">
        <v>2</v>
      </c>
      <c r="C6" s="17" t="s">
        <v>14</v>
      </c>
      <c r="D6" s="17" t="s">
        <v>116</v>
      </c>
      <c r="E6" s="17" t="s">
        <v>130</v>
      </c>
      <c r="F6" s="19" t="s">
        <v>131</v>
      </c>
      <c r="G6" s="19" t="s">
        <v>131</v>
      </c>
      <c r="H6" s="17" t="s">
        <v>119</v>
      </c>
      <c r="I6" s="17" t="s">
        <v>132</v>
      </c>
    </row>
    <row r="7" customFormat="false" ht="17.15" hidden="false" customHeight="false" outlineLevel="0" collapsed="false">
      <c r="A7" s="17" t="s">
        <v>4</v>
      </c>
      <c r="B7" s="18" t="n">
        <v>2</v>
      </c>
      <c r="C7" s="17" t="s">
        <v>14</v>
      </c>
      <c r="D7" s="17" t="s">
        <v>116</v>
      </c>
      <c r="E7" s="17" t="s">
        <v>133</v>
      </c>
      <c r="F7" s="19" t="s">
        <v>134</v>
      </c>
      <c r="G7" s="19" t="s">
        <v>134</v>
      </c>
      <c r="H7" s="17" t="s">
        <v>119</v>
      </c>
      <c r="I7" s="17" t="s">
        <v>135</v>
      </c>
    </row>
    <row r="8" customFormat="false" ht="17.15" hidden="false" customHeight="false" outlineLevel="0" collapsed="false">
      <c r="A8" s="17" t="s">
        <v>4</v>
      </c>
      <c r="B8" s="18" t="n">
        <v>2</v>
      </c>
      <c r="C8" s="17" t="s">
        <v>14</v>
      </c>
      <c r="D8" s="17" t="s">
        <v>116</v>
      </c>
      <c r="E8" s="17" t="s">
        <v>136</v>
      </c>
      <c r="F8" s="19" t="s">
        <v>137</v>
      </c>
      <c r="G8" s="19" t="s">
        <v>137</v>
      </c>
      <c r="H8" s="17" t="s">
        <v>119</v>
      </c>
      <c r="I8" s="17" t="s">
        <v>138</v>
      </c>
    </row>
    <row r="9" customFormat="false" ht="17.15" hidden="false" customHeight="false" outlineLevel="0" collapsed="false">
      <c r="A9" s="17" t="s">
        <v>4</v>
      </c>
      <c r="B9" s="18" t="n">
        <v>2</v>
      </c>
      <c r="C9" s="17" t="s">
        <v>14</v>
      </c>
      <c r="D9" s="17" t="s">
        <v>116</v>
      </c>
      <c r="E9" s="17" t="s">
        <v>139</v>
      </c>
      <c r="F9" s="19" t="s">
        <v>140</v>
      </c>
      <c r="G9" s="19" t="s">
        <v>140</v>
      </c>
      <c r="H9" s="17" t="s">
        <v>119</v>
      </c>
      <c r="I9" s="17" t="s">
        <v>141</v>
      </c>
    </row>
    <row r="10" customFormat="false" ht="17.15" hidden="false" customHeight="false" outlineLevel="0" collapsed="false">
      <c r="A10" s="17" t="s">
        <v>4</v>
      </c>
      <c r="B10" s="18" t="n">
        <v>2</v>
      </c>
      <c r="C10" s="17" t="s">
        <v>14</v>
      </c>
      <c r="D10" s="17" t="s">
        <v>116</v>
      </c>
      <c r="E10" s="17" t="s">
        <v>142</v>
      </c>
      <c r="F10" s="19" t="s">
        <v>143</v>
      </c>
      <c r="G10" s="19" t="s">
        <v>143</v>
      </c>
      <c r="H10" s="17" t="s">
        <v>119</v>
      </c>
      <c r="I10" s="17" t="s">
        <v>144</v>
      </c>
    </row>
    <row r="11" customFormat="false" ht="17.15" hidden="false" customHeight="false" outlineLevel="0" collapsed="false">
      <c r="A11" s="17" t="s">
        <v>4</v>
      </c>
      <c r="B11" s="18" t="n">
        <v>2</v>
      </c>
      <c r="C11" s="17" t="s">
        <v>14</v>
      </c>
      <c r="D11" s="17" t="s">
        <v>116</v>
      </c>
      <c r="E11" s="20" t="s">
        <v>145</v>
      </c>
      <c r="F11" s="19" t="s">
        <v>146</v>
      </c>
      <c r="G11" s="19" t="s">
        <v>146</v>
      </c>
      <c r="H11" s="17" t="s">
        <v>119</v>
      </c>
      <c r="I11" s="17" t="s">
        <v>147</v>
      </c>
    </row>
    <row r="12" customFormat="false" ht="17.15" hidden="false" customHeight="false" outlineLevel="0" collapsed="false">
      <c r="A12" s="17" t="s">
        <v>4</v>
      </c>
      <c r="B12" s="18" t="n">
        <v>2</v>
      </c>
      <c r="C12" s="17" t="s">
        <v>14</v>
      </c>
      <c r="D12" s="17" t="s">
        <v>116</v>
      </c>
      <c r="E12" s="17" t="s">
        <v>148</v>
      </c>
      <c r="F12" s="19" t="s">
        <v>149</v>
      </c>
      <c r="G12" s="19" t="s">
        <v>149</v>
      </c>
      <c r="H12" s="17" t="s">
        <v>119</v>
      </c>
      <c r="I12" s="17" t="s">
        <v>132</v>
      </c>
    </row>
    <row r="13" customFormat="false" ht="17.15" hidden="false" customHeight="false" outlineLevel="0" collapsed="false">
      <c r="A13" s="17" t="s">
        <v>4</v>
      </c>
      <c r="B13" s="18" t="n">
        <v>2</v>
      </c>
      <c r="C13" s="17" t="s">
        <v>14</v>
      </c>
      <c r="D13" s="17" t="s">
        <v>116</v>
      </c>
      <c r="E13" s="20" t="s">
        <v>150</v>
      </c>
      <c r="F13" s="19" t="s">
        <v>151</v>
      </c>
      <c r="G13" s="19" t="s">
        <v>151</v>
      </c>
      <c r="H13" s="17" t="s">
        <v>119</v>
      </c>
      <c r="I13" s="17" t="s">
        <v>152</v>
      </c>
    </row>
    <row r="14" customFormat="false" ht="17.15" hidden="false" customHeight="false" outlineLevel="0" collapsed="false">
      <c r="A14" s="17" t="s">
        <v>4</v>
      </c>
      <c r="B14" s="18" t="n">
        <v>2</v>
      </c>
      <c r="C14" s="17" t="s">
        <v>14</v>
      </c>
      <c r="D14" s="17" t="s">
        <v>116</v>
      </c>
      <c r="E14" s="17" t="s">
        <v>153</v>
      </c>
      <c r="F14" s="19" t="s">
        <v>154</v>
      </c>
      <c r="G14" s="19" t="s">
        <v>154</v>
      </c>
      <c r="H14" s="17" t="s">
        <v>119</v>
      </c>
      <c r="I14" s="17" t="s">
        <v>155</v>
      </c>
    </row>
    <row r="15" customFormat="false" ht="17.15" hidden="false" customHeight="false" outlineLevel="0" collapsed="false">
      <c r="A15" s="17" t="s">
        <v>4</v>
      </c>
      <c r="B15" s="18" t="n">
        <v>2</v>
      </c>
      <c r="C15" s="17" t="s">
        <v>14</v>
      </c>
      <c r="D15" s="17" t="s">
        <v>156</v>
      </c>
      <c r="E15" s="17" t="s">
        <v>157</v>
      </c>
      <c r="F15" s="19" t="s">
        <v>158</v>
      </c>
      <c r="G15" s="19" t="s">
        <v>158</v>
      </c>
      <c r="H15" s="17" t="s">
        <v>159</v>
      </c>
      <c r="I15" s="17" t="s">
        <v>160</v>
      </c>
    </row>
    <row r="16" customFormat="false" ht="17.15" hidden="false" customHeight="false" outlineLevel="0" collapsed="false">
      <c r="A16" s="17" t="s">
        <v>4</v>
      </c>
      <c r="B16" s="18" t="n">
        <v>3</v>
      </c>
      <c r="C16" s="17" t="s">
        <v>18</v>
      </c>
      <c r="D16" s="17" t="s">
        <v>116</v>
      </c>
      <c r="E16" s="17" t="s">
        <v>161</v>
      </c>
      <c r="F16" s="19" t="s">
        <v>162</v>
      </c>
      <c r="G16" s="19" t="s">
        <v>162</v>
      </c>
      <c r="H16" s="17" t="s">
        <v>119</v>
      </c>
      <c r="I16" s="17" t="s">
        <v>163</v>
      </c>
    </row>
    <row r="17" customFormat="false" ht="17.15" hidden="false" customHeight="false" outlineLevel="0" collapsed="false">
      <c r="A17" s="17" t="s">
        <v>4</v>
      </c>
      <c r="B17" s="18" t="n">
        <v>3</v>
      </c>
      <c r="C17" s="17" t="s">
        <v>18</v>
      </c>
      <c r="D17" s="17" t="s">
        <v>116</v>
      </c>
      <c r="E17" s="17" t="s">
        <v>89</v>
      </c>
      <c r="F17" s="19" t="s">
        <v>164</v>
      </c>
      <c r="G17" s="19" t="s">
        <v>164</v>
      </c>
      <c r="H17" s="17" t="s">
        <v>119</v>
      </c>
      <c r="I17" s="17" t="s">
        <v>165</v>
      </c>
    </row>
    <row r="18" customFormat="false" ht="17.15" hidden="false" customHeight="false" outlineLevel="0" collapsed="false">
      <c r="A18" s="17" t="s">
        <v>4</v>
      </c>
      <c r="B18" s="18" t="n">
        <v>3</v>
      </c>
      <c r="C18" s="17" t="s">
        <v>18</v>
      </c>
      <c r="D18" s="17" t="s">
        <v>166</v>
      </c>
      <c r="E18" s="17" t="s">
        <v>85</v>
      </c>
      <c r="F18" s="19" t="s">
        <v>167</v>
      </c>
      <c r="G18" s="19" t="s">
        <v>167</v>
      </c>
      <c r="H18" s="17" t="s">
        <v>101</v>
      </c>
      <c r="I18" s="17" t="s">
        <v>168</v>
      </c>
    </row>
    <row r="19" customFormat="false" ht="17.15" hidden="false" customHeight="false" outlineLevel="0" collapsed="false">
      <c r="A19" s="17" t="s">
        <v>4</v>
      </c>
      <c r="B19" s="18" t="n">
        <v>4</v>
      </c>
      <c r="C19" s="17" t="s">
        <v>21</v>
      </c>
      <c r="D19" s="17" t="s">
        <v>116</v>
      </c>
      <c r="E19" s="17" t="s">
        <v>169</v>
      </c>
      <c r="F19" s="19" t="s">
        <v>170</v>
      </c>
      <c r="G19" s="19" t="s">
        <v>170</v>
      </c>
      <c r="H19" s="17" t="s">
        <v>119</v>
      </c>
      <c r="I19" s="17" t="s">
        <v>171</v>
      </c>
    </row>
    <row r="20" customFormat="false" ht="17.15" hidden="false" customHeight="false" outlineLevel="0" collapsed="false">
      <c r="A20" s="17" t="s">
        <v>4</v>
      </c>
      <c r="B20" s="18" t="n">
        <v>4</v>
      </c>
      <c r="C20" s="17" t="s">
        <v>21</v>
      </c>
      <c r="D20" s="17" t="s">
        <v>116</v>
      </c>
      <c r="E20" s="17" t="s">
        <v>172</v>
      </c>
      <c r="F20" s="19" t="s">
        <v>173</v>
      </c>
      <c r="G20" s="19" t="s">
        <v>173</v>
      </c>
      <c r="H20" s="17" t="s">
        <v>119</v>
      </c>
      <c r="I20" s="17" t="s">
        <v>174</v>
      </c>
    </row>
    <row r="21" customFormat="false" ht="17.15" hidden="false" customHeight="false" outlineLevel="0" collapsed="false">
      <c r="A21" s="17" t="s">
        <v>4</v>
      </c>
      <c r="B21" s="18" t="n">
        <v>4</v>
      </c>
      <c r="C21" s="17" t="s">
        <v>21</v>
      </c>
      <c r="D21" s="17" t="s">
        <v>116</v>
      </c>
      <c r="E21" s="17" t="s">
        <v>175</v>
      </c>
      <c r="F21" s="19" t="s">
        <v>176</v>
      </c>
      <c r="G21" s="19" t="s">
        <v>176</v>
      </c>
      <c r="H21" s="17" t="s">
        <v>119</v>
      </c>
      <c r="I21" s="17" t="s">
        <v>177</v>
      </c>
    </row>
    <row r="22" customFormat="false" ht="17.15" hidden="false" customHeight="false" outlineLevel="0" collapsed="false">
      <c r="A22" s="17" t="s">
        <v>4</v>
      </c>
      <c r="B22" s="18" t="n">
        <v>4</v>
      </c>
      <c r="C22" s="17" t="s">
        <v>21</v>
      </c>
      <c r="D22" s="17" t="s">
        <v>116</v>
      </c>
      <c r="E22" s="17" t="s">
        <v>178</v>
      </c>
      <c r="F22" s="19" t="s">
        <v>179</v>
      </c>
      <c r="G22" s="19" t="s">
        <v>179</v>
      </c>
      <c r="H22" s="17" t="s">
        <v>119</v>
      </c>
      <c r="I22" s="17" t="s">
        <v>180</v>
      </c>
    </row>
    <row r="23" customFormat="false" ht="17.15" hidden="false" customHeight="false" outlineLevel="0" collapsed="false">
      <c r="A23" s="17" t="s">
        <v>4</v>
      </c>
      <c r="B23" s="18" t="n">
        <v>4</v>
      </c>
      <c r="C23" s="17" t="s">
        <v>21</v>
      </c>
      <c r="D23" s="17" t="s">
        <v>181</v>
      </c>
      <c r="E23" s="20" t="s">
        <v>99</v>
      </c>
      <c r="F23" s="19" t="s">
        <v>182</v>
      </c>
      <c r="G23" s="19" t="s">
        <v>182</v>
      </c>
      <c r="H23" s="17" t="s">
        <v>101</v>
      </c>
      <c r="I23" s="17" t="s">
        <v>183</v>
      </c>
    </row>
    <row r="24" customFormat="false" ht="17.15" hidden="false" customHeight="false" outlineLevel="0" collapsed="false">
      <c r="A24" s="17" t="s">
        <v>4</v>
      </c>
      <c r="B24" s="18" t="n">
        <v>5</v>
      </c>
      <c r="C24" s="20" t="s">
        <v>23</v>
      </c>
      <c r="D24" s="17" t="s">
        <v>53</v>
      </c>
      <c r="E24" s="17" t="s">
        <v>24</v>
      </c>
      <c r="F24" s="19" t="s">
        <v>184</v>
      </c>
      <c r="G24" s="19" t="s">
        <v>184</v>
      </c>
      <c r="H24" s="17" t="s">
        <v>119</v>
      </c>
      <c r="I24" s="20" t="s">
        <v>185</v>
      </c>
    </row>
    <row r="25" customFormat="false" ht="17.15" hidden="false" customHeight="false" outlineLevel="0" collapsed="false">
      <c r="A25" s="17" t="s">
        <v>4</v>
      </c>
      <c r="B25" s="18"/>
      <c r="C25" s="20" t="s">
        <v>34</v>
      </c>
      <c r="D25" s="17" t="s">
        <v>32</v>
      </c>
      <c r="E25" s="17" t="s">
        <v>33</v>
      </c>
      <c r="F25" s="19" t="s">
        <v>186</v>
      </c>
      <c r="G25" s="19" t="s">
        <v>186</v>
      </c>
      <c r="H25" s="17" t="s">
        <v>96</v>
      </c>
      <c r="I25" s="20" t="s">
        <v>187</v>
      </c>
    </row>
    <row r="26" customFormat="false" ht="17.15" hidden="false" customHeight="false" outlineLevel="0" collapsed="false">
      <c r="A26" s="17" t="s">
        <v>4</v>
      </c>
      <c r="B26" s="18"/>
      <c r="C26" s="20" t="s">
        <v>34</v>
      </c>
      <c r="D26" s="17" t="s">
        <v>32</v>
      </c>
      <c r="E26" s="17" t="s">
        <v>35</v>
      </c>
      <c r="F26" s="19" t="s">
        <v>188</v>
      </c>
      <c r="G26" s="19" t="s">
        <v>188</v>
      </c>
      <c r="H26" s="17" t="s">
        <v>96</v>
      </c>
      <c r="I26" s="20" t="s">
        <v>187</v>
      </c>
    </row>
    <row r="27" customFormat="false" ht="17.15" hidden="false" customHeight="false" outlineLevel="0" collapsed="false">
      <c r="A27" s="17" t="s">
        <v>4</v>
      </c>
      <c r="B27" s="18"/>
      <c r="C27" s="20" t="s">
        <v>34</v>
      </c>
      <c r="D27" s="17" t="s">
        <v>32</v>
      </c>
      <c r="E27" s="17" t="s">
        <v>36</v>
      </c>
      <c r="F27" s="19" t="s">
        <v>189</v>
      </c>
      <c r="G27" s="19" t="s">
        <v>189</v>
      </c>
      <c r="H27" s="17" t="s">
        <v>96</v>
      </c>
      <c r="I27" s="20" t="s">
        <v>187</v>
      </c>
    </row>
    <row r="28" customFormat="false" ht="17.15" hidden="false" customHeight="false" outlineLevel="0" collapsed="false">
      <c r="A28" s="17" t="s">
        <v>4</v>
      </c>
      <c r="B28" s="18"/>
      <c r="C28" s="20" t="s">
        <v>34</v>
      </c>
      <c r="D28" s="17" t="s">
        <v>32</v>
      </c>
      <c r="E28" s="17" t="s">
        <v>37</v>
      </c>
      <c r="F28" s="19" t="s">
        <v>190</v>
      </c>
      <c r="G28" s="19" t="s">
        <v>190</v>
      </c>
      <c r="H28" s="17" t="s">
        <v>96</v>
      </c>
      <c r="I28" s="20" t="s">
        <v>187</v>
      </c>
    </row>
    <row r="29" customFormat="false" ht="17.15" hidden="false" customHeight="false" outlineLevel="0" collapsed="false">
      <c r="A29" s="17" t="s">
        <v>4</v>
      </c>
      <c r="B29" s="18"/>
      <c r="C29" s="20" t="s">
        <v>34</v>
      </c>
      <c r="D29" s="17" t="s">
        <v>38</v>
      </c>
      <c r="E29" s="17" t="s">
        <v>39</v>
      </c>
      <c r="F29" s="19" t="s">
        <v>191</v>
      </c>
      <c r="G29" s="19" t="s">
        <v>191</v>
      </c>
      <c r="H29" s="17" t="s">
        <v>96</v>
      </c>
      <c r="I29" s="20" t="s">
        <v>187</v>
      </c>
    </row>
    <row r="30" customFormat="false" ht="17.15" hidden="false" customHeight="false" outlineLevel="0" collapsed="false">
      <c r="A30" s="17" t="s">
        <v>4</v>
      </c>
      <c r="B30" s="18"/>
      <c r="C30" s="20" t="s">
        <v>34</v>
      </c>
      <c r="D30" s="17" t="s">
        <v>38</v>
      </c>
      <c r="E30" s="17" t="s">
        <v>40</v>
      </c>
      <c r="F30" s="19" t="s">
        <v>192</v>
      </c>
      <c r="G30" s="19" t="s">
        <v>192</v>
      </c>
      <c r="H30" s="17" t="s">
        <v>96</v>
      </c>
      <c r="I30" s="20" t="s">
        <v>187</v>
      </c>
    </row>
    <row r="31" customFormat="false" ht="17.15" hidden="false" customHeight="false" outlineLevel="0" collapsed="false">
      <c r="A31" s="17" t="s">
        <v>4</v>
      </c>
      <c r="B31" s="18"/>
      <c r="C31" s="20" t="s">
        <v>34</v>
      </c>
      <c r="D31" s="17" t="s">
        <v>38</v>
      </c>
      <c r="E31" s="17" t="s">
        <v>41</v>
      </c>
      <c r="F31" s="19" t="s">
        <v>193</v>
      </c>
      <c r="G31" s="19" t="s">
        <v>193</v>
      </c>
      <c r="H31" s="17" t="s">
        <v>96</v>
      </c>
      <c r="I31" s="20" t="s">
        <v>187</v>
      </c>
    </row>
    <row r="32" customFormat="false" ht="17.15" hidden="false" customHeight="false" outlineLevel="0" collapsed="false">
      <c r="A32" s="17" t="s">
        <v>4</v>
      </c>
      <c r="B32" s="18"/>
      <c r="C32" s="20" t="s">
        <v>34</v>
      </c>
      <c r="D32" s="17" t="s">
        <v>38</v>
      </c>
      <c r="E32" s="17" t="s">
        <v>42</v>
      </c>
      <c r="F32" s="19" t="s">
        <v>194</v>
      </c>
      <c r="G32" s="19" t="s">
        <v>194</v>
      </c>
      <c r="H32" s="17" t="s">
        <v>96</v>
      </c>
      <c r="I32" s="20" t="s">
        <v>187</v>
      </c>
    </row>
    <row r="33" customFormat="false" ht="17.15" hidden="false" customHeight="false" outlineLevel="0" collapsed="false">
      <c r="A33" s="17" t="s">
        <v>4</v>
      </c>
      <c r="B33" s="18"/>
      <c r="C33" s="20" t="s">
        <v>34</v>
      </c>
      <c r="D33" s="17" t="s">
        <v>38</v>
      </c>
      <c r="E33" s="17" t="s">
        <v>43</v>
      </c>
      <c r="F33" s="19" t="s">
        <v>195</v>
      </c>
      <c r="G33" s="19" t="s">
        <v>195</v>
      </c>
      <c r="H33" s="17" t="s">
        <v>96</v>
      </c>
      <c r="I33" s="20" t="s">
        <v>187</v>
      </c>
    </row>
    <row r="34" customFormat="false" ht="17.15" hidden="false" customHeight="false" outlineLevel="0" collapsed="false">
      <c r="A34" s="17" t="s">
        <v>4</v>
      </c>
      <c r="B34" s="18"/>
      <c r="C34" s="20" t="s">
        <v>34</v>
      </c>
      <c r="D34" s="17" t="s">
        <v>38</v>
      </c>
      <c r="E34" s="17" t="s">
        <v>44</v>
      </c>
      <c r="F34" s="19" t="s">
        <v>196</v>
      </c>
      <c r="G34" s="19" t="s">
        <v>196</v>
      </c>
      <c r="H34" s="17" t="s">
        <v>96</v>
      </c>
      <c r="I34" s="20" t="s">
        <v>187</v>
      </c>
    </row>
    <row r="35" customFormat="false" ht="17.15" hidden="false" customHeight="false" outlineLevel="0" collapsed="false">
      <c r="A35" s="17" t="s">
        <v>4</v>
      </c>
      <c r="B35" s="18"/>
      <c r="C35" s="20" t="s">
        <v>34</v>
      </c>
      <c r="D35" s="17" t="s">
        <v>38</v>
      </c>
      <c r="E35" s="17" t="s">
        <v>45</v>
      </c>
      <c r="F35" s="19" t="s">
        <v>197</v>
      </c>
      <c r="G35" s="19" t="s">
        <v>197</v>
      </c>
      <c r="H35" s="17" t="s">
        <v>96</v>
      </c>
      <c r="I35" s="20" t="s">
        <v>187</v>
      </c>
    </row>
    <row r="36" customFormat="false" ht="17.15" hidden="false" customHeight="false" outlineLevel="0" collapsed="false">
      <c r="A36" s="17" t="s">
        <v>4</v>
      </c>
      <c r="B36" s="18"/>
      <c r="C36" s="20" t="s">
        <v>34</v>
      </c>
      <c r="D36" s="17" t="s">
        <v>38</v>
      </c>
      <c r="E36" s="17" t="s">
        <v>46</v>
      </c>
      <c r="F36" s="19" t="s">
        <v>198</v>
      </c>
      <c r="G36" s="19" t="s">
        <v>198</v>
      </c>
      <c r="H36" s="17" t="s">
        <v>96</v>
      </c>
      <c r="I36" s="20" t="s">
        <v>187</v>
      </c>
    </row>
    <row r="37" customFormat="false" ht="17.15" hidden="false" customHeight="false" outlineLevel="0" collapsed="false">
      <c r="A37" s="17" t="s">
        <v>4</v>
      </c>
      <c r="B37" s="18"/>
      <c r="C37" s="20" t="s">
        <v>34</v>
      </c>
      <c r="D37" s="17" t="s">
        <v>38</v>
      </c>
      <c r="E37" s="17" t="s">
        <v>47</v>
      </c>
      <c r="F37" s="19" t="s">
        <v>199</v>
      </c>
      <c r="G37" s="19" t="s">
        <v>199</v>
      </c>
      <c r="H37" s="17" t="s">
        <v>96</v>
      </c>
      <c r="I37" s="20" t="s">
        <v>187</v>
      </c>
    </row>
    <row r="38" customFormat="false" ht="17.15" hidden="false" customHeight="false" outlineLevel="0" collapsed="false">
      <c r="A38" s="17" t="s">
        <v>4</v>
      </c>
      <c r="B38" s="18"/>
      <c r="C38" s="20" t="s">
        <v>34</v>
      </c>
      <c r="D38" s="17" t="s">
        <v>38</v>
      </c>
      <c r="E38" s="17" t="s">
        <v>48</v>
      </c>
      <c r="F38" s="19" t="s">
        <v>200</v>
      </c>
      <c r="G38" s="19" t="s">
        <v>200</v>
      </c>
      <c r="H38" s="17" t="s">
        <v>96</v>
      </c>
      <c r="I38" s="20" t="s">
        <v>187</v>
      </c>
    </row>
    <row r="39" customFormat="false" ht="17.15" hidden="false" customHeight="false" outlineLevel="0" collapsed="false">
      <c r="A39" s="17" t="s">
        <v>4</v>
      </c>
      <c r="B39" s="18"/>
      <c r="C39" s="20" t="s">
        <v>34</v>
      </c>
      <c r="D39" s="17" t="s">
        <v>38</v>
      </c>
      <c r="E39" s="17" t="s">
        <v>49</v>
      </c>
      <c r="F39" s="19" t="s">
        <v>201</v>
      </c>
      <c r="G39" s="19" t="s">
        <v>201</v>
      </c>
      <c r="H39" s="17" t="s">
        <v>96</v>
      </c>
      <c r="I39" s="20" t="s">
        <v>187</v>
      </c>
    </row>
    <row r="40" customFormat="false" ht="17.15" hidden="false" customHeight="false" outlineLevel="0" collapsed="false">
      <c r="A40" s="17" t="s">
        <v>4</v>
      </c>
      <c r="B40" s="18"/>
      <c r="C40" s="20" t="s">
        <v>34</v>
      </c>
      <c r="D40" s="17" t="s">
        <v>38</v>
      </c>
      <c r="E40" s="17" t="s">
        <v>50</v>
      </c>
      <c r="F40" s="19" t="s">
        <v>202</v>
      </c>
      <c r="G40" s="19" t="s">
        <v>202</v>
      </c>
      <c r="H40" s="17" t="s">
        <v>96</v>
      </c>
      <c r="I40" s="20" t="s">
        <v>187</v>
      </c>
    </row>
    <row r="41" customFormat="false" ht="17.15" hidden="false" customHeight="false" outlineLevel="0" collapsed="false">
      <c r="A41" s="17" t="s">
        <v>4</v>
      </c>
      <c r="B41" s="18"/>
      <c r="C41" s="20" t="s">
        <v>34</v>
      </c>
      <c r="D41" s="17" t="s">
        <v>38</v>
      </c>
      <c r="E41" s="17" t="s">
        <v>51</v>
      </c>
      <c r="F41" s="19" t="s">
        <v>203</v>
      </c>
      <c r="G41" s="19" t="s">
        <v>203</v>
      </c>
      <c r="H41" s="17" t="s">
        <v>96</v>
      </c>
      <c r="I41" s="20" t="s">
        <v>187</v>
      </c>
    </row>
    <row r="42" customFormat="false" ht="17.15" hidden="false" customHeight="false" outlineLevel="0" collapsed="false">
      <c r="A42" s="17" t="s">
        <v>4</v>
      </c>
      <c r="B42" s="18"/>
      <c r="C42" s="20" t="s">
        <v>34</v>
      </c>
      <c r="D42" s="17" t="s">
        <v>38</v>
      </c>
      <c r="E42" s="17" t="s">
        <v>52</v>
      </c>
      <c r="F42" s="19" t="s">
        <v>204</v>
      </c>
      <c r="G42" s="19" t="s">
        <v>204</v>
      </c>
      <c r="H42" s="17" t="s">
        <v>96</v>
      </c>
      <c r="I42" s="20" t="s">
        <v>187</v>
      </c>
    </row>
    <row r="43" customFormat="false" ht="17.15" hidden="false" customHeight="false" outlineLevel="0" collapsed="false">
      <c r="A43" s="17" t="s">
        <v>4</v>
      </c>
      <c r="B43" s="18"/>
      <c r="C43" s="20" t="s">
        <v>55</v>
      </c>
      <c r="D43" s="17" t="s">
        <v>53</v>
      </c>
      <c r="E43" s="17" t="s">
        <v>54</v>
      </c>
      <c r="F43" s="19" t="s">
        <v>205</v>
      </c>
      <c r="G43" s="19" t="s">
        <v>205</v>
      </c>
      <c r="H43" s="17" t="s">
        <v>96</v>
      </c>
      <c r="I43" s="20" t="s">
        <v>97</v>
      </c>
    </row>
    <row r="44" customFormat="false" ht="17.15" hidden="false" customHeight="false" outlineLevel="0" collapsed="false">
      <c r="A44" s="17" t="s">
        <v>4</v>
      </c>
      <c r="B44" s="18"/>
      <c r="C44" s="20" t="s">
        <v>55</v>
      </c>
      <c r="D44" s="17" t="s">
        <v>53</v>
      </c>
      <c r="E44" s="20" t="s">
        <v>56</v>
      </c>
      <c r="F44" s="19" t="s">
        <v>206</v>
      </c>
      <c r="G44" s="19" t="s">
        <v>206</v>
      </c>
      <c r="H44" s="17" t="s">
        <v>96</v>
      </c>
      <c r="I44" s="20" t="s">
        <v>97</v>
      </c>
    </row>
    <row r="45" customFormat="false" ht="17.15" hidden="false" customHeight="false" outlineLevel="0" collapsed="false">
      <c r="A45" s="17" t="s">
        <v>4</v>
      </c>
      <c r="B45" s="18"/>
      <c r="C45" s="20" t="s">
        <v>55</v>
      </c>
      <c r="D45" s="17" t="s">
        <v>53</v>
      </c>
      <c r="E45" s="17" t="s">
        <v>57</v>
      </c>
      <c r="F45" s="19" t="s">
        <v>207</v>
      </c>
      <c r="G45" s="19" t="s">
        <v>207</v>
      </c>
      <c r="H45" s="17" t="s">
        <v>96</v>
      </c>
      <c r="I45" s="20" t="s">
        <v>97</v>
      </c>
    </row>
    <row r="46" customFormat="false" ht="17.15" hidden="false" customHeight="false" outlineLevel="0" collapsed="false">
      <c r="A46" s="17" t="s">
        <v>4</v>
      </c>
      <c r="B46" s="18"/>
      <c r="C46" s="20" t="s">
        <v>34</v>
      </c>
      <c r="D46" s="17" t="s">
        <v>58</v>
      </c>
      <c r="E46" s="17" t="s">
        <v>59</v>
      </c>
      <c r="F46" s="19" t="s">
        <v>208</v>
      </c>
      <c r="G46" s="19" t="s">
        <v>208</v>
      </c>
      <c r="H46" s="17" t="s">
        <v>96</v>
      </c>
      <c r="I46" s="20" t="s">
        <v>187</v>
      </c>
    </row>
    <row r="47" customFormat="false" ht="17.15" hidden="false" customHeight="false" outlineLevel="0" collapsed="false">
      <c r="A47" s="17" t="s">
        <v>4</v>
      </c>
      <c r="B47" s="18"/>
      <c r="C47" s="20" t="s">
        <v>34</v>
      </c>
      <c r="D47" s="17" t="s">
        <v>60</v>
      </c>
      <c r="E47" s="17" t="s">
        <v>61</v>
      </c>
      <c r="F47" s="19" t="s">
        <v>209</v>
      </c>
      <c r="G47" s="19" t="s">
        <v>209</v>
      </c>
      <c r="H47" s="17" t="s">
        <v>96</v>
      </c>
      <c r="I47" s="20" t="s">
        <v>187</v>
      </c>
    </row>
    <row r="48" customFormat="false" ht="17.15" hidden="false" customHeight="false" outlineLevel="0" collapsed="false">
      <c r="A48" s="17" t="s">
        <v>4</v>
      </c>
      <c r="B48" s="18"/>
      <c r="C48" s="20" t="s">
        <v>34</v>
      </c>
      <c r="D48" s="17" t="s">
        <v>60</v>
      </c>
      <c r="E48" s="17" t="s">
        <v>62</v>
      </c>
      <c r="F48" s="19" t="s">
        <v>210</v>
      </c>
      <c r="G48" s="19" t="s">
        <v>210</v>
      </c>
      <c r="H48" s="17" t="s">
        <v>96</v>
      </c>
      <c r="I48" s="20" t="s">
        <v>187</v>
      </c>
    </row>
    <row r="49" customFormat="false" ht="17.15" hidden="false" customHeight="false" outlineLevel="0" collapsed="false">
      <c r="A49" s="17" t="s">
        <v>4</v>
      </c>
      <c r="B49" s="18"/>
      <c r="C49" s="20" t="s">
        <v>34</v>
      </c>
      <c r="D49" s="17" t="s">
        <v>60</v>
      </c>
      <c r="E49" s="20" t="s">
        <v>63</v>
      </c>
      <c r="F49" s="19" t="s">
        <v>211</v>
      </c>
      <c r="G49" s="19" t="s">
        <v>211</v>
      </c>
      <c r="H49" s="17" t="s">
        <v>96</v>
      </c>
      <c r="I49" s="20" t="s">
        <v>187</v>
      </c>
    </row>
    <row r="50" customFormat="false" ht="17.15" hidden="false" customHeight="false" outlineLevel="0" collapsed="false">
      <c r="A50" s="17" t="s">
        <v>4</v>
      </c>
      <c r="B50" s="18"/>
      <c r="C50" s="20" t="s">
        <v>34</v>
      </c>
      <c r="D50" s="17" t="s">
        <v>60</v>
      </c>
      <c r="E50" s="17" t="s">
        <v>64</v>
      </c>
      <c r="F50" s="19" t="s">
        <v>212</v>
      </c>
      <c r="G50" s="19" t="s">
        <v>212</v>
      </c>
      <c r="H50" s="17" t="s">
        <v>96</v>
      </c>
      <c r="I50" s="20" t="s">
        <v>187</v>
      </c>
    </row>
    <row r="51" customFormat="false" ht="17.15" hidden="false" customHeight="false" outlineLevel="0" collapsed="false">
      <c r="A51" s="17" t="s">
        <v>4</v>
      </c>
      <c r="B51" s="18"/>
      <c r="C51" s="20" t="s">
        <v>34</v>
      </c>
      <c r="D51" s="17" t="s">
        <v>60</v>
      </c>
      <c r="E51" s="17" t="s">
        <v>65</v>
      </c>
      <c r="F51" s="19" t="s">
        <v>213</v>
      </c>
      <c r="G51" s="19" t="s">
        <v>213</v>
      </c>
      <c r="H51" s="17" t="s">
        <v>96</v>
      </c>
      <c r="I51" s="20" t="s">
        <v>187</v>
      </c>
    </row>
    <row r="52" customFormat="false" ht="17.15" hidden="false" customHeight="false" outlineLevel="0" collapsed="false">
      <c r="A52" s="17" t="s">
        <v>4</v>
      </c>
      <c r="B52" s="18"/>
      <c r="C52" s="20" t="s">
        <v>34</v>
      </c>
      <c r="D52" s="17" t="s">
        <v>60</v>
      </c>
      <c r="E52" s="20" t="s">
        <v>66</v>
      </c>
      <c r="F52" s="19" t="s">
        <v>214</v>
      </c>
      <c r="G52" s="19" t="s">
        <v>214</v>
      </c>
      <c r="H52" s="17" t="s">
        <v>96</v>
      </c>
      <c r="I52" s="20" t="s">
        <v>187</v>
      </c>
    </row>
    <row r="53" customFormat="false" ht="17.15" hidden="false" customHeight="false" outlineLevel="0" collapsed="false">
      <c r="A53" s="17" t="s">
        <v>4</v>
      </c>
      <c r="B53" s="18"/>
      <c r="C53" s="20" t="s">
        <v>34</v>
      </c>
      <c r="D53" s="17" t="s">
        <v>60</v>
      </c>
      <c r="E53" s="17" t="s">
        <v>67</v>
      </c>
      <c r="F53" s="19" t="s">
        <v>215</v>
      </c>
      <c r="G53" s="19" t="s">
        <v>215</v>
      </c>
      <c r="H53" s="17" t="s">
        <v>96</v>
      </c>
      <c r="I53" s="20" t="s">
        <v>187</v>
      </c>
    </row>
    <row r="54" customFormat="false" ht="17.15" hidden="false" customHeight="false" outlineLevel="0" collapsed="false">
      <c r="A54" s="17" t="s">
        <v>4</v>
      </c>
      <c r="B54" s="18"/>
      <c r="C54" s="20" t="s">
        <v>34</v>
      </c>
      <c r="D54" s="17" t="s">
        <v>60</v>
      </c>
      <c r="E54" s="17" t="s">
        <v>68</v>
      </c>
      <c r="F54" s="19" t="s">
        <v>216</v>
      </c>
      <c r="G54" s="19" t="s">
        <v>216</v>
      </c>
      <c r="H54" s="17" t="s">
        <v>96</v>
      </c>
      <c r="I54" s="20" t="s">
        <v>187</v>
      </c>
    </row>
    <row r="55" customFormat="false" ht="17.15" hidden="false" customHeight="false" outlineLevel="0" collapsed="false">
      <c r="A55" s="17" t="s">
        <v>4</v>
      </c>
      <c r="B55" s="18"/>
      <c r="C55" s="20" t="s">
        <v>34</v>
      </c>
      <c r="D55" s="17" t="s">
        <v>60</v>
      </c>
      <c r="E55" s="17" t="s">
        <v>69</v>
      </c>
      <c r="F55" s="19" t="s">
        <v>217</v>
      </c>
      <c r="G55" s="19" t="s">
        <v>217</v>
      </c>
      <c r="H55" s="17" t="s">
        <v>96</v>
      </c>
      <c r="I55" s="20" t="s">
        <v>187</v>
      </c>
    </row>
    <row r="56" customFormat="false" ht="17.15" hidden="false" customHeight="false" outlineLevel="0" collapsed="false">
      <c r="A56" s="17" t="s">
        <v>4</v>
      </c>
      <c r="B56" s="18"/>
      <c r="C56" s="20" t="s">
        <v>72</v>
      </c>
      <c r="D56" s="17" t="s">
        <v>70</v>
      </c>
      <c r="E56" s="20" t="s">
        <v>71</v>
      </c>
      <c r="F56" s="19" t="s">
        <v>218</v>
      </c>
      <c r="G56" s="19" t="s">
        <v>218</v>
      </c>
      <c r="H56" s="17" t="s">
        <v>96</v>
      </c>
      <c r="I56" s="20" t="s">
        <v>219</v>
      </c>
    </row>
    <row r="57" customFormat="false" ht="17.15" hidden="false" customHeight="false" outlineLevel="0" collapsed="false">
      <c r="A57" s="17" t="s">
        <v>4</v>
      </c>
      <c r="B57" s="18"/>
      <c r="C57" s="20" t="s">
        <v>72</v>
      </c>
      <c r="D57" s="17" t="s">
        <v>70</v>
      </c>
      <c r="E57" s="17" t="s">
        <v>73</v>
      </c>
      <c r="F57" s="19" t="s">
        <v>220</v>
      </c>
      <c r="G57" s="19" t="s">
        <v>220</v>
      </c>
      <c r="H57" s="17" t="s">
        <v>96</v>
      </c>
      <c r="I57" s="20" t="s">
        <v>219</v>
      </c>
    </row>
    <row r="58" customFormat="false" ht="17.15" hidden="false" customHeight="false" outlineLevel="0" collapsed="false">
      <c r="A58" s="17" t="s">
        <v>4</v>
      </c>
      <c r="B58" s="18"/>
      <c r="C58" s="20" t="s">
        <v>72</v>
      </c>
      <c r="D58" s="17" t="s">
        <v>70</v>
      </c>
      <c r="E58" s="17" t="s">
        <v>74</v>
      </c>
      <c r="F58" s="19" t="s">
        <v>221</v>
      </c>
      <c r="G58" s="19" t="s">
        <v>221</v>
      </c>
      <c r="H58" s="17" t="s">
        <v>96</v>
      </c>
      <c r="I58" s="20" t="s">
        <v>219</v>
      </c>
    </row>
    <row r="59" customFormat="false" ht="17.15" hidden="false" customHeight="false" outlineLevel="0" collapsed="false">
      <c r="A59" s="17" t="s">
        <v>4</v>
      </c>
      <c r="B59" s="18"/>
      <c r="C59" s="20" t="s">
        <v>72</v>
      </c>
      <c r="D59" s="17" t="s">
        <v>70</v>
      </c>
      <c r="E59" s="20" t="s">
        <v>75</v>
      </c>
      <c r="F59" s="19" t="s">
        <v>222</v>
      </c>
      <c r="G59" s="19" t="s">
        <v>222</v>
      </c>
      <c r="H59" s="17" t="s">
        <v>96</v>
      </c>
      <c r="I59" s="20" t="s">
        <v>219</v>
      </c>
    </row>
    <row r="60" customFormat="false" ht="17.15" hidden="false" customHeight="false" outlineLevel="0" collapsed="false">
      <c r="A60" s="17" t="s">
        <v>5</v>
      </c>
      <c r="B60" s="18" t="n">
        <v>1</v>
      </c>
      <c r="C60" s="17" t="s">
        <v>10</v>
      </c>
      <c r="D60" s="17" t="s">
        <v>156</v>
      </c>
      <c r="E60" s="17" t="s">
        <v>12</v>
      </c>
      <c r="F60" s="19" t="s">
        <v>223</v>
      </c>
      <c r="G60" s="19" t="s">
        <v>224</v>
      </c>
      <c r="H60" s="17" t="s">
        <v>159</v>
      </c>
      <c r="I60" s="17" t="s">
        <v>225</v>
      </c>
    </row>
    <row r="61" customFormat="false" ht="17.15" hidden="false" customHeight="false" outlineLevel="0" collapsed="false">
      <c r="A61" s="17" t="s">
        <v>5</v>
      </c>
      <c r="B61" s="18" t="n">
        <v>3</v>
      </c>
      <c r="C61" s="17" t="s">
        <v>18</v>
      </c>
      <c r="D61" s="17" t="s">
        <v>156</v>
      </c>
      <c r="E61" s="17" t="s">
        <v>226</v>
      </c>
      <c r="F61" s="19" t="s">
        <v>227</v>
      </c>
      <c r="G61" s="19" t="s">
        <v>228</v>
      </c>
      <c r="H61" s="17" t="s">
        <v>159</v>
      </c>
      <c r="I61" s="17" t="s">
        <v>229</v>
      </c>
    </row>
    <row r="62" customFormat="false" ht="17.15" hidden="false" customHeight="false" outlineLevel="0" collapsed="false">
      <c r="A62" s="17" t="s">
        <v>5</v>
      </c>
      <c r="B62" s="18" t="n">
        <v>3</v>
      </c>
      <c r="C62" s="17" t="s">
        <v>18</v>
      </c>
      <c r="D62" s="17" t="s">
        <v>156</v>
      </c>
      <c r="E62" s="20" t="s">
        <v>230</v>
      </c>
      <c r="F62" s="19" t="s">
        <v>231</v>
      </c>
      <c r="G62" s="19" t="s">
        <v>232</v>
      </c>
      <c r="H62" s="17" t="s">
        <v>159</v>
      </c>
      <c r="I62" s="17" t="s">
        <v>233</v>
      </c>
    </row>
    <row r="63" customFormat="false" ht="17.15" hidden="false" customHeight="false" outlineLevel="0" collapsed="false">
      <c r="A63" s="17" t="s">
        <v>5</v>
      </c>
      <c r="B63" s="18" t="n">
        <v>5</v>
      </c>
      <c r="C63" s="20" t="s">
        <v>23</v>
      </c>
      <c r="D63" s="17" t="s">
        <v>156</v>
      </c>
      <c r="E63" s="17" t="s">
        <v>25</v>
      </c>
      <c r="F63" s="19" t="s">
        <v>234</v>
      </c>
      <c r="G63" s="19" t="s">
        <v>235</v>
      </c>
      <c r="H63" s="17" t="s">
        <v>159</v>
      </c>
      <c r="I63" s="20" t="s">
        <v>236</v>
      </c>
    </row>
    <row r="64" customFormat="false" ht="17.15" hidden="false" customHeight="false" outlineLevel="0" collapsed="false">
      <c r="A64" s="17" t="s">
        <v>6</v>
      </c>
      <c r="B64" s="18" t="n">
        <v>1</v>
      </c>
      <c r="C64" s="17" t="s">
        <v>10</v>
      </c>
      <c r="D64" s="17" t="s">
        <v>76</v>
      </c>
      <c r="E64" s="20" t="s">
        <v>77</v>
      </c>
      <c r="F64" s="19" t="s">
        <v>237</v>
      </c>
      <c r="G64" s="19" t="s">
        <v>238</v>
      </c>
      <c r="H64" s="17" t="s">
        <v>239</v>
      </c>
      <c r="I64" s="20" t="s">
        <v>240</v>
      </c>
    </row>
    <row r="65" customFormat="false" ht="17.15" hidden="false" customHeight="false" outlineLevel="0" collapsed="false">
      <c r="A65" s="17" t="s">
        <v>6</v>
      </c>
      <c r="B65" s="18" t="n">
        <v>1</v>
      </c>
      <c r="C65" s="17" t="s">
        <v>10</v>
      </c>
      <c r="D65" s="17" t="s">
        <v>156</v>
      </c>
      <c r="E65" s="17" t="s">
        <v>241</v>
      </c>
      <c r="F65" s="19" t="s">
        <v>242</v>
      </c>
      <c r="G65" s="19" t="s">
        <v>243</v>
      </c>
      <c r="H65" s="17" t="s">
        <v>159</v>
      </c>
      <c r="I65" s="17" t="s">
        <v>244</v>
      </c>
    </row>
    <row r="66" customFormat="false" ht="17.15" hidden="false" customHeight="false" outlineLevel="0" collapsed="false">
      <c r="A66" s="17" t="s">
        <v>6</v>
      </c>
      <c r="B66" s="18" t="n">
        <v>1</v>
      </c>
      <c r="C66" s="17" t="s">
        <v>10</v>
      </c>
      <c r="D66" s="17" t="s">
        <v>156</v>
      </c>
      <c r="E66" s="20" t="s">
        <v>245</v>
      </c>
      <c r="F66" s="19" t="s">
        <v>246</v>
      </c>
      <c r="G66" s="19" t="s">
        <v>247</v>
      </c>
      <c r="H66" s="17" t="s">
        <v>159</v>
      </c>
      <c r="I66" s="17" t="s">
        <v>248</v>
      </c>
    </row>
    <row r="67" customFormat="false" ht="17.15" hidden="false" customHeight="false" outlineLevel="0" collapsed="false">
      <c r="A67" s="17" t="s">
        <v>6</v>
      </c>
      <c r="B67" s="18" t="n">
        <v>2</v>
      </c>
      <c r="C67" s="17" t="s">
        <v>14</v>
      </c>
      <c r="D67" s="17" t="s">
        <v>156</v>
      </c>
      <c r="E67" s="17" t="s">
        <v>17</v>
      </c>
      <c r="F67" s="19" t="s">
        <v>249</v>
      </c>
      <c r="G67" s="19" t="s">
        <v>250</v>
      </c>
      <c r="H67" s="17" t="s">
        <v>159</v>
      </c>
      <c r="I67" s="17" t="s">
        <v>251</v>
      </c>
    </row>
  </sheetData>
  <autoFilter ref="A1:I67"/>
  <conditionalFormatting sqref="A2:I67">
    <cfRule type="expression" priority="2" aboveAverage="0" equalAverage="0" bottom="0" percent="0" rank="0" text="" dxfId="7">
      <formula>$H2="구간 이동"</formula>
    </cfRule>
    <cfRule type="expression" priority="3" aboveAverage="0" equalAverage="0" bottom="0" percent="0" rank="0" text="" dxfId="8">
      <formula>$H2="추가"</formula>
    </cfRule>
    <cfRule type="expression" priority="4" aboveAverage="0" equalAverage="0" bottom="0" percent="0" rank="0" text="" dxfId="9">
      <formula>$H2="신규"</formula>
    </cfRule>
    <cfRule type="expression" priority="5" aboveAverage="0" equalAverage="0" bottom="0" percent="0" rank="0" text="" dxfId="10">
      <formula>$H2="탭 밖 이동"</formula>
    </cfRule>
  </conditionalFormatting>
  <dataValidations count="1">
    <dataValidation allowBlank="false" errorStyle="stop" operator="between" showDropDown="false" showErrorMessage="false" showInputMessage="false" sqref="H2:H67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2026-10-17T04:00:40Z</dcterms:created>
  <dc:creator>openpyxl</dc:creator>
  <dc:description/>
  <dc:language>en-US</dc:language>
  <cp:lastModifiedBy/>
  <dcterms:modified xsi:type="dcterms:W3CDTF">2026-10-17T04:00:53Z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