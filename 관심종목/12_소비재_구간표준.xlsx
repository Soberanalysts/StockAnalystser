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간 표준" sheetId="1" state="visible" r:id="rId3"/>
    <sheet name="원래 그룹 정리" sheetId="2" state="visible" r:id="rId4"/>
    <sheet name="종목 목록" sheetId="3" state="visible" r:id="rId5"/>
  </sheets>
  <definedNames>
    <definedName function="false" hidden="true" localSheetId="2" name="_xlnm._FilterDatabase" vbProcedure="false">'종목 목록'!$A$1:$I$69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<sst xmlns="http://schemas.openxmlformats.org/spreadsheetml/2006/main" count="651" uniqueCount="259">
  <si>
    <r>
      <rPr>
        <b val="true"/>
        <sz val="14"/>
        <rFont val="Arial"/>
        <family val="0"/>
        <charset val="1"/>
      </rPr>
      <t xml:space="preserve">12 </t>
    </r>
    <r>
      <rPr>
        <b val="true"/>
        <sz val="14"/>
        <rFont val="Noto Sans CJK SC"/>
        <family val="2"/>
      </rPr>
      <t xml:space="preserve">소비재 구간 표준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Noto Sans CJK SC"/>
        <family val="2"/>
      </rPr>
      <t xml:space="preserve">국장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미장</t>
    </r>
    <r>
      <rPr>
        <b val="true"/>
        <sz val="14"/>
        <rFont val="Arial"/>
        <family val="0"/>
        <charset val="1"/>
      </rPr>
      <t xml:space="preserve">·</t>
    </r>
    <r>
      <rPr>
        <b val="true"/>
        <sz val="14"/>
        <rFont val="Noto Sans CJK SC"/>
        <family val="2"/>
      </rPr>
      <t xml:space="preserve">일장 공통 순서</t>
    </r>
    <r>
      <rPr>
        <b val="true"/>
        <sz val="14"/>
        <rFont val="Arial"/>
        <family val="0"/>
        <charset val="1"/>
      </rPr>
      <t xml:space="preserve">)</t>
    </r>
  </si>
  <si>
    <r>
      <rPr>
        <i val="true"/>
        <sz val="9"/>
        <color rgb="FF666666"/>
        <rFont val="Noto Sans CJK SC"/>
        <family val="2"/>
      </rPr>
      <t xml:space="preserve">종목 수는 </t>
    </r>
    <r>
      <rPr>
        <i val="true"/>
        <sz val="9"/>
        <color rgb="FF666666"/>
        <rFont val="Arial"/>
        <family val="0"/>
        <charset val="1"/>
      </rPr>
      <t xml:space="preserve">'</t>
    </r>
    <r>
      <rPr>
        <i val="true"/>
        <sz val="9"/>
        <color rgb="FF666666"/>
        <rFont val="Noto Sans CJK SC"/>
        <family val="2"/>
      </rPr>
      <t xml:space="preserve">종목 목록</t>
    </r>
    <r>
      <rPr>
        <i val="true"/>
        <sz val="9"/>
        <color rgb="FF666666"/>
        <rFont val="Arial"/>
        <family val="0"/>
        <charset val="1"/>
      </rPr>
      <t xml:space="preserve">' </t>
    </r>
    <r>
      <rPr>
        <i val="true"/>
        <sz val="9"/>
        <color rgb="FF666666"/>
        <rFont val="Noto Sans CJK SC"/>
        <family val="2"/>
      </rPr>
      <t xml:space="preserve">시트에서 자동 집계</t>
    </r>
    <r>
      <rPr>
        <i val="true"/>
        <sz val="9"/>
        <color rgb="FF666666"/>
        <rFont val="Arial"/>
        <family val="0"/>
        <charset val="1"/>
      </rPr>
      <t xml:space="preserve">("</t>
    </r>
    <r>
      <rPr>
        <i val="true"/>
        <sz val="9"/>
        <color rgb="FF666666"/>
        <rFont val="Noto Sans CJK SC"/>
        <family val="2"/>
      </rPr>
      <t xml:space="preserve">탭 밖 이동</t>
    </r>
    <r>
      <rPr>
        <i val="true"/>
        <sz val="9"/>
        <color rgb="FF666666"/>
        <rFont val="Arial"/>
        <family val="0"/>
        <charset val="1"/>
      </rPr>
      <t xml:space="preserve">" </t>
    </r>
    <r>
      <rPr>
        <i val="true"/>
        <sz val="9"/>
        <color rgb="FF666666"/>
        <rFont val="Noto Sans CJK SC"/>
        <family val="2"/>
      </rPr>
      <t xml:space="preserve">제외</t>
    </r>
    <r>
      <rPr>
        <i val="true"/>
        <sz val="9"/>
        <color rgb="FF666666"/>
        <rFont val="Arial"/>
        <family val="0"/>
        <charset val="1"/>
      </rPr>
      <t xml:space="preserve">). </t>
    </r>
    <r>
      <rPr>
        <i val="true"/>
        <sz val="9"/>
        <color rgb="FF666666"/>
        <rFont val="Noto Sans CJK SC"/>
        <family val="2"/>
      </rPr>
      <t xml:space="preserve">신규 종목은 종목 목록 시트에 파란색으로 표시</t>
    </r>
    <r>
      <rPr>
        <i val="true"/>
        <sz val="9"/>
        <color rgb="FF666666"/>
        <rFont val="Arial"/>
        <family val="0"/>
        <charset val="1"/>
      </rPr>
      <t xml:space="preserve">.</t>
    </r>
  </si>
  <si>
    <t xml:space="preserve">순서</t>
  </si>
  <si>
    <t xml:space="preserve">표준 구간</t>
  </si>
  <si>
    <t xml:space="preserve">국장</t>
  </si>
  <si>
    <t xml:space="preserve">미장</t>
  </si>
  <si>
    <t xml:space="preserve">일장</t>
  </si>
  <si>
    <t xml:space="preserve">국장 종목</t>
  </si>
  <si>
    <t xml:space="preserve">미장 종목</t>
  </si>
  <si>
    <t xml:space="preserve">일장 종목</t>
  </si>
  <si>
    <t xml:space="preserve">화장품 미용</t>
  </si>
  <si>
    <r>
      <rPr>
        <sz val="11"/>
        <rFont val="Noto Sans CJK SC"/>
        <family val="2"/>
      </rPr>
      <t xml:space="preserve">에이피알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클래시스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아모레퍼시픽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마녀공장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한국콜마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코스메카코리아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코스맥스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뷰티스킨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오가닉티코스메틱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클리오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실리콘투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한국화장품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한국화장품제조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아로마티카</t>
    </r>
  </si>
  <si>
    <r>
      <rPr>
        <sz val="11"/>
        <rFont val="Noto Sans CJK SC"/>
        <family val="2"/>
      </rPr>
      <t xml:space="preserve">엘프 뷰티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에스티 로더</t>
    </r>
  </si>
  <si>
    <r>
      <rPr>
        <sz val="11"/>
        <rFont val="Noto Sans CJK SC"/>
        <family val="2"/>
      </rPr>
      <t xml:space="preserve">시세이도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코세</t>
    </r>
  </si>
  <si>
    <t xml:space="preserve">식품 음료</t>
  </si>
  <si>
    <r>
      <rPr>
        <sz val="11"/>
        <rFont val="Noto Sans CJK SC"/>
        <family val="2"/>
      </rPr>
      <t xml:space="preserve">삼양식품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오리온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빙그레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오뚜기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해태제과식품</t>
    </r>
  </si>
  <si>
    <r>
      <rPr>
        <sz val="11"/>
        <rFont val="Noto Sans CJK SC"/>
        <family val="2"/>
      </rPr>
      <t xml:space="preserve">칼 메인 푸즈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허쉬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호멜 푸즈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크래프트 하인즈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펩시코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코카콜라 유로퍼시픽 파트너스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코카콜라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큐리그 닥터 페퍼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몬스터 베버리지</t>
    </r>
  </si>
  <si>
    <r>
      <rPr>
        <sz val="11"/>
        <rFont val="Noto Sans CJK SC"/>
        <family val="2"/>
      </rPr>
      <t xml:space="preserve">닛신식품홀딩스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아사히그룹홀딩스</t>
    </r>
  </si>
  <si>
    <t xml:space="preserve">유통</t>
  </si>
  <si>
    <r>
      <rPr>
        <sz val="11"/>
        <rFont val="Noto Sans CJK SC"/>
        <family val="2"/>
      </rPr>
      <t xml:space="preserve">신세계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한화갤러리아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이마트</t>
    </r>
  </si>
  <si>
    <r>
      <rPr>
        <sz val="11"/>
        <rFont val="Arial"/>
        <family val="0"/>
        <charset val="1"/>
      </rPr>
      <t xml:space="preserve">BJS </t>
    </r>
    <r>
      <rPr>
        <sz val="11"/>
        <rFont val="Noto Sans CJK SC"/>
        <family val="2"/>
      </rPr>
      <t xml:space="preserve">홀세일 클럽 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월마트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코스트코 홀세일</t>
    </r>
  </si>
  <si>
    <r>
      <rPr>
        <sz val="11"/>
        <rFont val="Noto Sans CJK SC"/>
        <family val="2"/>
      </rPr>
      <t xml:space="preserve">세븐앤아이홀딩스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패스트리테일링</t>
    </r>
  </si>
  <si>
    <t xml:space="preserve">호텔 레저</t>
  </si>
  <si>
    <r>
      <rPr>
        <sz val="11"/>
        <rFont val="Noto Sans CJK SC"/>
        <family val="2"/>
      </rPr>
      <t xml:space="preserve">기도산업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한화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서부</t>
    </r>
    <r>
      <rPr>
        <sz val="11"/>
        <rFont val="Arial"/>
        <family val="0"/>
        <charset val="1"/>
      </rPr>
      <t xml:space="preserve">T&amp;D, </t>
    </r>
    <r>
      <rPr>
        <sz val="11"/>
        <rFont val="Noto Sans CJK SC"/>
        <family val="2"/>
      </rPr>
      <t xml:space="preserve">파라다이스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호텔신라</t>
    </r>
  </si>
  <si>
    <t xml:space="preserve">라스베이거스 샌즈</t>
  </si>
  <si>
    <t xml:space="preserve">오리엔탈랜드</t>
  </si>
  <si>
    <t xml:space="preserve">통신사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</si>
  <si>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텔레콤</t>
    </r>
    <r>
      <rPr>
        <sz val="11"/>
        <rFont val="Arial"/>
        <family val="0"/>
        <charset val="1"/>
      </rPr>
      <t xml:space="preserve">, KT, LG</t>
    </r>
    <r>
      <rPr>
        <sz val="11"/>
        <rFont val="Noto Sans CJK SC"/>
        <family val="2"/>
      </rPr>
      <t xml:space="preserve">유플러스</t>
    </r>
  </si>
  <si>
    <r>
      <rPr>
        <sz val="11"/>
        <rFont val="Noto Sans CJK SC"/>
        <family val="2"/>
      </rPr>
      <t xml:space="preserve">버라이존 커뮤니케이션스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에이티앤티</t>
    </r>
    <r>
      <rPr>
        <sz val="11"/>
        <rFont val="Arial"/>
        <family val="0"/>
        <charset val="1"/>
      </rPr>
      <t xml:space="preserve">, T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US</t>
    </r>
  </si>
  <si>
    <r>
      <rPr>
        <sz val="11"/>
        <rFont val="Arial"/>
        <family val="0"/>
        <charset val="1"/>
      </rPr>
      <t xml:space="preserve">NTT, KDDI, </t>
    </r>
    <r>
      <rPr>
        <sz val="11"/>
        <rFont val="Noto Sans CJK SC"/>
        <family val="2"/>
      </rPr>
      <t xml:space="preserve">소프트뱅크</t>
    </r>
  </si>
  <si>
    <t xml:space="preserve">합계</t>
  </si>
  <si>
    <t xml:space="preserve">불러온 뒤 원래 그룹에서 빼야 할 종목</t>
  </si>
  <si>
    <t xml:space="preserve">시장</t>
  </si>
  <si>
    <t xml:space="preserve">원래 위치</t>
  </si>
  <si>
    <t xml:space="preserve">종목명</t>
  </si>
  <si>
    <t xml:space="preserve">옮겨간 곳</t>
  </si>
  <si>
    <r>
      <rPr>
        <sz val="11"/>
        <rFont val="Noto Sans CJK SC"/>
        <family val="2"/>
      </rPr>
      <t xml:space="preserve">헬스케어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식품</t>
    </r>
  </si>
  <si>
    <t xml:space="preserve">삼양식품</t>
  </si>
  <si>
    <r>
      <rPr>
        <sz val="11"/>
        <rFont val="Arial"/>
        <family val="0"/>
        <charset val="1"/>
      </rPr>
      <t xml:space="preserve">12 </t>
    </r>
    <r>
      <rPr>
        <sz val="11"/>
        <rFont val="Noto Sans CJK SC"/>
        <family val="2"/>
      </rPr>
      <t xml:space="preserve">소비재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식품 음료</t>
    </r>
  </si>
  <si>
    <t xml:space="preserve">오리온</t>
  </si>
  <si>
    <t xml:space="preserve">빙그레</t>
  </si>
  <si>
    <t xml:space="preserve">오뚜기</t>
  </si>
  <si>
    <t xml:space="preserve">해태제과식품</t>
  </si>
  <si>
    <r>
      <rPr>
        <sz val="11"/>
        <rFont val="Noto Sans CJK SC"/>
        <family val="2"/>
      </rPr>
      <t xml:space="preserve">주요테마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백화점</t>
    </r>
  </si>
  <si>
    <t xml:space="preserve">신세계</t>
  </si>
  <si>
    <r>
      <rPr>
        <sz val="11"/>
        <rFont val="Arial"/>
        <family val="0"/>
        <charset val="1"/>
      </rPr>
      <t xml:space="preserve">12 </t>
    </r>
    <r>
      <rPr>
        <sz val="11"/>
        <rFont val="Noto Sans CJK SC"/>
        <family val="2"/>
      </rPr>
      <t xml:space="preserve">소비재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유통</t>
    </r>
  </si>
  <si>
    <t xml:space="preserve">한화갤러리아</t>
  </si>
  <si>
    <r>
      <rPr>
        <sz val="11"/>
        <rFont val="Noto Sans CJK SC"/>
        <family val="2"/>
      </rPr>
      <t xml:space="preserve">주요테마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호텔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리조트</t>
    </r>
  </si>
  <si>
    <t xml:space="preserve">이마트</t>
  </si>
  <si>
    <t xml:space="preserve">기도산업</t>
  </si>
  <si>
    <r>
      <rPr>
        <sz val="11"/>
        <rFont val="Arial"/>
        <family val="0"/>
        <charset val="1"/>
      </rPr>
      <t xml:space="preserve">12 </t>
    </r>
    <r>
      <rPr>
        <sz val="11"/>
        <rFont val="Noto Sans CJK SC"/>
        <family val="2"/>
      </rPr>
      <t xml:space="preserve">소비재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호텔 레저</t>
    </r>
  </si>
  <si>
    <t xml:space="preserve">한화</t>
  </si>
  <si>
    <r>
      <rPr>
        <sz val="11"/>
        <rFont val="Noto Sans CJK SC"/>
        <family val="2"/>
      </rPr>
      <t xml:space="preserve">서부</t>
    </r>
    <r>
      <rPr>
        <sz val="11"/>
        <rFont val="Arial"/>
        <family val="0"/>
        <charset val="1"/>
      </rPr>
      <t xml:space="preserve">T&amp;D</t>
    </r>
  </si>
  <si>
    <t xml:space="preserve">파라다이스</t>
  </si>
  <si>
    <t xml:space="preserve">호텔신라</t>
  </si>
  <si>
    <r>
      <rPr>
        <sz val="11"/>
        <rFont val="Noto Sans CJK SC"/>
        <family val="2"/>
      </rPr>
      <t xml:space="preserve">뷰티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통신장비</t>
    </r>
  </si>
  <si>
    <t xml:space="preserve">케이엠더블유</t>
  </si>
  <si>
    <r>
      <rPr>
        <sz val="11"/>
        <rFont val="Arial"/>
        <family val="0"/>
        <charset val="1"/>
      </rPr>
      <t xml:space="preserve">(02 </t>
    </r>
    <r>
      <rPr>
        <sz val="11"/>
        <rFont val="Noto Sans CJK SC"/>
        <family val="2"/>
      </rPr>
      <t xml:space="preserve">데이터센터로 이동</t>
    </r>
    <r>
      <rPr>
        <sz val="11"/>
        <rFont val="Arial"/>
        <family val="0"/>
        <charset val="1"/>
      </rPr>
      <t xml:space="preserve">)</t>
    </r>
  </si>
  <si>
    <t xml:space="preserve">에이스테크</t>
  </si>
  <si>
    <r>
      <rPr>
        <sz val="11"/>
        <rFont val="Noto Sans CJK SC"/>
        <family val="2"/>
      </rPr>
      <t xml:space="preserve">미국 경기방어주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통신장비</t>
    </r>
  </si>
  <si>
    <r>
      <rPr>
        <sz val="11"/>
        <rFont val="Noto Sans CJK SC"/>
        <family val="2"/>
      </rPr>
      <t xml:space="preserve">노키아</t>
    </r>
    <r>
      <rPr>
        <sz val="11"/>
        <rFont val="Arial"/>
        <family val="0"/>
        <charset val="1"/>
      </rPr>
      <t xml:space="preserve">(ADR)</t>
    </r>
  </si>
  <si>
    <t xml:space="preserve">세라건 네트웍스</t>
  </si>
  <si>
    <t xml:space="preserve">메이컴 테크놀로지 솔루션스 홀딩스</t>
  </si>
  <si>
    <t xml:space="preserve">캘릭스</t>
  </si>
  <si>
    <t xml:space="preserve">아비아트 네트웍스</t>
  </si>
  <si>
    <r>
      <rPr>
        <sz val="11"/>
        <rFont val="Noto Sans CJK SC"/>
        <family val="2"/>
      </rPr>
      <t xml:space="preserve">에릭슨 </t>
    </r>
    <r>
      <rPr>
        <sz val="11"/>
        <rFont val="Arial"/>
        <family val="0"/>
        <charset val="1"/>
      </rPr>
      <t xml:space="preserve">B(ADR)</t>
    </r>
  </si>
  <si>
    <t xml:space="preserve">애드트랜</t>
  </si>
  <si>
    <t xml:space="preserve">구간 순서</t>
  </si>
  <si>
    <r>
      <rPr>
        <b val="true"/>
        <sz val="11"/>
        <color rgb="FFFFFFFF"/>
        <rFont val="Noto Sans CJK SC"/>
        <family val="2"/>
      </rPr>
      <t xml:space="preserve">원래 위치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탭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구간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</si>
  <si>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종목코드</t>
    </r>
    <r>
      <rPr>
        <b val="true"/>
        <sz val="11"/>
        <color rgb="FFFFFFFF"/>
        <rFont val="Arial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티커</t>
    </r>
  </si>
  <si>
    <t xml:space="preserve">영웅문 코드</t>
  </si>
  <si>
    <t xml:space="preserve">상태</t>
  </si>
  <si>
    <t xml:space="preserve">메모</t>
  </si>
  <si>
    <r>
      <rPr>
        <sz val="11"/>
        <rFont val="Noto Sans CJK SC"/>
        <family val="2"/>
      </rPr>
      <t xml:space="preserve">뷰티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구간없음</t>
    </r>
    <r>
      <rPr>
        <sz val="11"/>
        <rFont val="Arial"/>
        <family val="0"/>
        <charset val="1"/>
      </rPr>
      <t xml:space="preserve">)</t>
    </r>
  </si>
  <si>
    <t xml:space="preserve">에이피알</t>
  </si>
  <si>
    <t xml:space="preserve">278470</t>
  </si>
  <si>
    <t xml:space="preserve">유지</t>
  </si>
  <si>
    <r>
      <rPr>
        <sz val="11"/>
        <rFont val="Noto Sans CJK SC"/>
        <family val="2"/>
      </rPr>
      <t xml:space="preserve">화장품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뷰티 디바이스</t>
    </r>
  </si>
  <si>
    <t xml:space="preserve">클래시스</t>
  </si>
  <si>
    <t xml:space="preserve">214150</t>
  </si>
  <si>
    <t xml:space="preserve">미용기기</t>
  </si>
  <si>
    <t xml:space="preserve">아모레퍼시픽</t>
  </si>
  <si>
    <t xml:space="preserve">090430</t>
  </si>
  <si>
    <t xml:space="preserve">마녀공장</t>
  </si>
  <si>
    <t xml:space="preserve">439090</t>
  </si>
  <si>
    <t xml:space="preserve">한국콜마</t>
  </si>
  <si>
    <t xml:space="preserve">161890</t>
  </si>
  <si>
    <t xml:space="preserve">코스메카코리아</t>
  </si>
  <si>
    <t xml:space="preserve">241710</t>
  </si>
  <si>
    <t xml:space="preserve">코스맥스</t>
  </si>
  <si>
    <t xml:space="preserve">192820</t>
  </si>
  <si>
    <t xml:space="preserve">뷰티스킨</t>
  </si>
  <si>
    <t xml:space="preserve">406820</t>
  </si>
  <si>
    <t xml:space="preserve">오가닉티코스메틱</t>
  </si>
  <si>
    <t xml:space="preserve">900300</t>
  </si>
  <si>
    <t xml:space="preserve">클리오</t>
  </si>
  <si>
    <t xml:space="preserve">237880</t>
  </si>
  <si>
    <t xml:space="preserve">실리콘투</t>
  </si>
  <si>
    <t xml:space="preserve">257720</t>
  </si>
  <si>
    <r>
      <rPr>
        <sz val="11"/>
        <rFont val="Arial"/>
        <family val="0"/>
        <charset val="1"/>
      </rPr>
      <t xml:space="preserve">K</t>
    </r>
    <r>
      <rPr>
        <sz val="11"/>
        <rFont val="Noto Sans CJK SC"/>
        <family val="2"/>
      </rPr>
      <t xml:space="preserve">뷰티 유통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수출</t>
    </r>
    <r>
      <rPr>
        <sz val="11"/>
        <rFont val="Arial"/>
        <family val="0"/>
        <charset val="1"/>
      </rPr>
      <t xml:space="preserve">)</t>
    </r>
  </si>
  <si>
    <t xml:space="preserve">한국화장품</t>
  </si>
  <si>
    <t xml:space="preserve">123690</t>
  </si>
  <si>
    <t xml:space="preserve">한국화장품제조</t>
  </si>
  <si>
    <t xml:space="preserve">003350</t>
  </si>
  <si>
    <t xml:space="preserve">아로마티카</t>
  </si>
  <si>
    <t xml:space="preserve">0015N0</t>
  </si>
  <si>
    <t xml:space="preserve">003230</t>
  </si>
  <si>
    <t xml:space="preserve">추가</t>
  </si>
  <si>
    <r>
      <rPr>
        <sz val="11"/>
        <rFont val="Noto Sans CJK SC"/>
        <family val="2"/>
      </rPr>
      <t xml:space="preserve">헬스케어 탭에서 이동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닛신식품의 짝</t>
    </r>
    <r>
      <rPr>
        <sz val="11"/>
        <rFont val="Arial"/>
        <family val="0"/>
        <charset val="1"/>
      </rPr>
      <t xml:space="preserve">)</t>
    </r>
  </si>
  <si>
    <t xml:space="preserve">271560</t>
  </si>
  <si>
    <t xml:space="preserve">헬스케어 탭에서 이동</t>
  </si>
  <si>
    <t xml:space="preserve">005180</t>
  </si>
  <si>
    <t xml:space="preserve">007310</t>
  </si>
  <si>
    <t xml:space="preserve">101530</t>
  </si>
  <si>
    <t xml:space="preserve">004170</t>
  </si>
  <si>
    <t xml:space="preserve">주요테마 탭 백화점에서 이동</t>
  </si>
  <si>
    <t xml:space="preserve">452260</t>
  </si>
  <si>
    <t xml:space="preserve">139480</t>
  </si>
  <si>
    <r>
      <rPr>
        <sz val="11"/>
        <rFont val="Noto Sans CJK SC"/>
        <family val="2"/>
      </rPr>
      <t xml:space="preserve">주요테마 호텔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리조트에서 이동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대형마트</t>
    </r>
    <r>
      <rPr>
        <sz val="11"/>
        <rFont val="Arial"/>
        <family val="0"/>
        <charset val="1"/>
      </rPr>
      <t xml:space="preserve">)</t>
    </r>
  </si>
  <si>
    <t xml:space="preserve">282620</t>
  </si>
  <si>
    <r>
      <rPr>
        <sz val="11"/>
        <rFont val="Noto Sans CJK SC"/>
        <family val="2"/>
      </rPr>
      <t xml:space="preserve">주요테마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사업 내용 불분명</t>
    </r>
  </si>
  <si>
    <t xml:space="preserve">000880</t>
  </si>
  <si>
    <r>
      <rPr>
        <sz val="11"/>
        <rFont val="Noto Sans CJK SC"/>
        <family val="2"/>
      </rPr>
      <t xml:space="preserve">주요테마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그룹 지주사</t>
    </r>
  </si>
  <si>
    <t xml:space="preserve">006730</t>
  </si>
  <si>
    <r>
      <rPr>
        <sz val="11"/>
        <rFont val="Noto Sans CJK SC"/>
        <family val="2"/>
      </rPr>
      <t xml:space="preserve">주요테마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호텔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쉐라톤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운영</t>
    </r>
  </si>
  <si>
    <t xml:space="preserve">034230</t>
  </si>
  <si>
    <r>
      <rPr>
        <sz val="11"/>
        <rFont val="Noto Sans CJK SC"/>
        <family val="2"/>
      </rPr>
      <t xml:space="preserve">주요테마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라스베이거스 샌즈 짝</t>
    </r>
    <r>
      <rPr>
        <sz val="11"/>
        <rFont val="Arial"/>
        <family val="0"/>
        <charset val="1"/>
      </rPr>
      <t xml:space="preserve">)</t>
    </r>
  </si>
  <si>
    <t xml:space="preserve">008770</t>
  </si>
  <si>
    <r>
      <rPr>
        <sz val="11"/>
        <rFont val="Noto Sans CJK SC"/>
        <family val="2"/>
      </rPr>
      <t xml:space="preserve">주요테마 탭에서 이동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면세점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호텔</t>
    </r>
  </si>
  <si>
    <r>
      <rPr>
        <sz val="11"/>
        <rFont val="Noto Sans CJK SC"/>
        <family val="2"/>
      </rPr>
      <t xml:space="preserve">뷰티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통신</t>
    </r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</si>
  <si>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텔레콤</t>
    </r>
  </si>
  <si>
    <t xml:space="preserve">017670</t>
  </si>
  <si>
    <t xml:space="preserve">뷰티 탭 안에 있던 통신사</t>
  </si>
  <si>
    <t xml:space="preserve">KT</t>
  </si>
  <si>
    <t xml:space="preserve">030200</t>
  </si>
  <si>
    <r>
      <rPr>
        <sz val="11"/>
        <rFont val="Arial"/>
        <family val="0"/>
        <charset val="1"/>
      </rPr>
      <t xml:space="preserve">LG</t>
    </r>
    <r>
      <rPr>
        <sz val="11"/>
        <rFont val="Noto Sans CJK SC"/>
        <family val="2"/>
      </rPr>
      <t xml:space="preserve">유플러스</t>
    </r>
  </si>
  <si>
    <t xml:space="preserve">032640</t>
  </si>
  <si>
    <t xml:space="preserve">032500</t>
  </si>
  <si>
    <t xml:space="preserve">탭 밖 이동</t>
  </si>
  <si>
    <r>
      <rPr>
        <sz val="11"/>
        <rFont val="Arial"/>
        <family val="0"/>
        <charset val="1"/>
      </rPr>
      <t xml:space="preserve">02 </t>
    </r>
    <r>
      <rPr>
        <sz val="11"/>
        <rFont val="Noto Sans CJK SC"/>
        <family val="2"/>
      </rPr>
      <t xml:space="preserve">데이터센터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통신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통신장비로 이동 완료</t>
    </r>
  </si>
  <si>
    <t xml:space="preserve">088800</t>
  </si>
  <si>
    <r>
      <rPr>
        <sz val="11"/>
        <rFont val="Noto Sans CJK SC"/>
        <family val="2"/>
      </rPr>
      <t xml:space="preserve">신규 </t>
    </r>
    <r>
      <rPr>
        <sz val="11"/>
        <rFont val="Arial"/>
        <family val="0"/>
        <charset val="1"/>
      </rPr>
      <t xml:space="preserve">/ (</t>
    </r>
    <r>
      <rPr>
        <sz val="11"/>
        <rFont val="Noto Sans CJK SC"/>
        <family val="2"/>
      </rPr>
      <t xml:space="preserve">신규</t>
    </r>
    <r>
      <rPr>
        <sz val="11"/>
        <rFont val="Arial"/>
        <family val="0"/>
        <charset val="1"/>
      </rPr>
      <t xml:space="preserve">)</t>
    </r>
  </si>
  <si>
    <t xml:space="preserve">엘프 뷰티</t>
  </si>
  <si>
    <t xml:space="preserve">ELF</t>
  </si>
  <si>
    <t xml:space="preserve">NYELF</t>
  </si>
  <si>
    <t xml:space="preserve">신규</t>
  </si>
  <si>
    <r>
      <rPr>
        <sz val="11"/>
        <rFont val="Noto Sans CJK SC"/>
        <family val="2"/>
      </rPr>
      <t xml:space="preserve">저가 뷰티</t>
    </r>
    <r>
      <rPr>
        <sz val="11"/>
        <rFont val="Arial"/>
        <family val="0"/>
        <charset val="1"/>
      </rPr>
      <t xml:space="preserve">, K</t>
    </r>
    <r>
      <rPr>
        <sz val="11"/>
        <rFont val="Noto Sans CJK SC"/>
        <family val="2"/>
      </rPr>
      <t xml:space="preserve">뷰티 인디 브랜드와 같은 수요</t>
    </r>
  </si>
  <si>
    <t xml:space="preserve">에스티 로더</t>
  </si>
  <si>
    <t xml:space="preserve">EL</t>
  </si>
  <si>
    <t xml:space="preserve">NYEL</t>
  </si>
  <si>
    <r>
      <rPr>
        <sz val="11"/>
        <rFont val="Noto Sans CJK SC"/>
        <family val="2"/>
      </rPr>
      <t xml:space="preserve">프리미엄 화장품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아모레퍼시픽 짝</t>
    </r>
  </si>
  <si>
    <r>
      <rPr>
        <sz val="11"/>
        <rFont val="Noto Sans CJK SC"/>
        <family val="2"/>
      </rPr>
      <t xml:space="preserve">미국 경기방어주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식품</t>
    </r>
  </si>
  <si>
    <t xml:space="preserve">칼 메인 푸즈</t>
  </si>
  <si>
    <t xml:space="preserve">CALM</t>
  </si>
  <si>
    <t xml:space="preserve">NDCALM</t>
  </si>
  <si>
    <t xml:space="preserve">허쉬</t>
  </si>
  <si>
    <t xml:space="preserve">HSY</t>
  </si>
  <si>
    <t xml:space="preserve">NYHSY</t>
  </si>
  <si>
    <t xml:space="preserve">호멜 푸즈</t>
  </si>
  <si>
    <t xml:space="preserve">HRL</t>
  </si>
  <si>
    <t xml:space="preserve">NYHRL</t>
  </si>
  <si>
    <t xml:space="preserve">크래프트 하인즈</t>
  </si>
  <si>
    <t xml:space="preserve">KHC</t>
  </si>
  <si>
    <t xml:space="preserve">NYKHC</t>
  </si>
  <si>
    <t xml:space="preserve">펩시코</t>
  </si>
  <si>
    <t xml:space="preserve">PEP</t>
  </si>
  <si>
    <t xml:space="preserve">NDPEP</t>
  </si>
  <si>
    <t xml:space="preserve">코카콜라 유로퍼시픽 파트너스</t>
  </si>
  <si>
    <t xml:space="preserve">CCEP</t>
  </si>
  <si>
    <t xml:space="preserve">NDCCEP</t>
  </si>
  <si>
    <t xml:space="preserve">코카콜라</t>
  </si>
  <si>
    <t xml:space="preserve">KO</t>
  </si>
  <si>
    <t xml:space="preserve">NYKO</t>
  </si>
  <si>
    <t xml:space="preserve">큐리그 닥터 페퍼</t>
  </si>
  <si>
    <t xml:space="preserve">KDP</t>
  </si>
  <si>
    <t xml:space="preserve">NDKDP</t>
  </si>
  <si>
    <t xml:space="preserve">몬스터 베버리지</t>
  </si>
  <si>
    <t xml:space="preserve">MNST</t>
  </si>
  <si>
    <t xml:space="preserve">NDMNST</t>
  </si>
  <si>
    <r>
      <rPr>
        <sz val="11"/>
        <rFont val="Noto Sans CJK SC"/>
        <family val="2"/>
      </rPr>
      <t xml:space="preserve">미국 경기방어주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마트</t>
    </r>
  </si>
  <si>
    <r>
      <rPr>
        <sz val="11"/>
        <rFont val="Arial"/>
        <family val="0"/>
        <charset val="1"/>
      </rPr>
      <t xml:space="preserve">BJS </t>
    </r>
    <r>
      <rPr>
        <sz val="11"/>
        <rFont val="Noto Sans CJK SC"/>
        <family val="2"/>
      </rPr>
      <t xml:space="preserve">홀세일 클럽 홀딩스</t>
    </r>
  </si>
  <si>
    <t xml:space="preserve">BJ</t>
  </si>
  <si>
    <t xml:space="preserve">NYBJ</t>
  </si>
  <si>
    <t xml:space="preserve">월마트</t>
  </si>
  <si>
    <t xml:space="preserve">WMT</t>
  </si>
  <si>
    <t xml:space="preserve">NDWMT</t>
  </si>
  <si>
    <t xml:space="preserve">코스트코 홀세일</t>
  </si>
  <si>
    <t xml:space="preserve">COST</t>
  </si>
  <si>
    <t xml:space="preserve">NDCOST</t>
  </si>
  <si>
    <t xml:space="preserve">LVS</t>
  </si>
  <si>
    <t xml:space="preserve">NYLVS</t>
  </si>
  <si>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마카오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싱가포르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파라다이스 짝</t>
    </r>
  </si>
  <si>
    <r>
      <rPr>
        <sz val="11"/>
        <rFont val="Noto Sans CJK SC"/>
        <family val="2"/>
      </rPr>
      <t xml:space="preserve">미국 경기방어주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통신</t>
    </r>
  </si>
  <si>
    <t xml:space="preserve">버라이존 커뮤니케이션스</t>
  </si>
  <si>
    <t xml:space="preserve">VZ</t>
  </si>
  <si>
    <t xml:space="preserve">NYVZ</t>
  </si>
  <si>
    <t xml:space="preserve">에이티앤티</t>
  </si>
  <si>
    <t xml:space="preserve">T</t>
  </si>
  <si>
    <t xml:space="preserve">NYT</t>
  </si>
  <si>
    <r>
      <rPr>
        <sz val="11"/>
        <rFont val="Arial"/>
        <family val="0"/>
        <charset val="1"/>
      </rPr>
      <t xml:space="preserve">T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US</t>
    </r>
  </si>
  <si>
    <t xml:space="preserve">TMUS</t>
  </si>
  <si>
    <t xml:space="preserve">NDTMUS</t>
  </si>
  <si>
    <t xml:space="preserve">배당주 탭과 중복</t>
  </si>
  <si>
    <t xml:space="preserve">NOK</t>
  </si>
  <si>
    <t xml:space="preserve">NYNOK</t>
  </si>
  <si>
    <t xml:space="preserve">CRNT</t>
  </si>
  <si>
    <t xml:space="preserve">NDCRNT</t>
  </si>
  <si>
    <t xml:space="preserve">MTSI</t>
  </si>
  <si>
    <t xml:space="preserve">NDMTSI</t>
  </si>
  <si>
    <t xml:space="preserve">CALX</t>
  </si>
  <si>
    <t xml:space="preserve">NYCALX</t>
  </si>
  <si>
    <t xml:space="preserve">AVNW</t>
  </si>
  <si>
    <t xml:space="preserve">NDAVNW</t>
  </si>
  <si>
    <t xml:space="preserve">ERIC</t>
  </si>
  <si>
    <t xml:space="preserve">NDERIC</t>
  </si>
  <si>
    <t xml:space="preserve">ADTN</t>
  </si>
  <si>
    <t xml:space="preserve">NDADTN</t>
  </si>
  <si>
    <t xml:space="preserve">시세이도</t>
  </si>
  <si>
    <t xml:space="preserve">04911</t>
  </si>
  <si>
    <t xml:space="preserve">W04911</t>
  </si>
  <si>
    <t xml:space="preserve">아모레퍼시픽 짝</t>
  </si>
  <si>
    <t xml:space="preserve">코세</t>
  </si>
  <si>
    <t xml:space="preserve">04922</t>
  </si>
  <si>
    <t xml:space="preserve">W04922</t>
  </si>
  <si>
    <t xml:space="preserve">닛신식품홀딩스</t>
  </si>
  <si>
    <t xml:space="preserve">02897</t>
  </si>
  <si>
    <t xml:space="preserve">W02897</t>
  </si>
  <si>
    <r>
      <rPr>
        <sz val="11"/>
        <rFont val="Noto Sans CJK SC"/>
        <family val="2"/>
      </rPr>
      <t xml:space="preserve">라면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삼양식품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농심 짝</t>
    </r>
  </si>
  <si>
    <t xml:space="preserve">아사히그룹홀딩스</t>
  </si>
  <si>
    <t xml:space="preserve">02502</t>
  </si>
  <si>
    <t xml:space="preserve">W02502</t>
  </si>
  <si>
    <r>
      <rPr>
        <sz val="11"/>
        <rFont val="Noto Sans CJK SC"/>
        <family val="2"/>
      </rPr>
      <t xml:space="preserve">맥주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음료</t>
    </r>
  </si>
  <si>
    <t xml:space="preserve">세븐앤아이홀딩스</t>
  </si>
  <si>
    <t xml:space="preserve">03382</t>
  </si>
  <si>
    <t xml:space="preserve">W03382</t>
  </si>
  <si>
    <t xml:space="preserve">편의점</t>
  </si>
  <si>
    <t xml:space="preserve">이온</t>
  </si>
  <si>
    <t xml:space="preserve">08267</t>
  </si>
  <si>
    <t xml:space="preserve">W08267</t>
  </si>
  <si>
    <r>
      <rPr>
        <sz val="11"/>
        <rFont val="Noto Sans CJK SC"/>
        <family val="2"/>
      </rPr>
      <t xml:space="preserve">대형마트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이마트 짝</t>
    </r>
  </si>
  <si>
    <t xml:space="preserve">패스트리테일링</t>
  </si>
  <si>
    <t xml:space="preserve">09983</t>
  </si>
  <si>
    <t xml:space="preserve">W09983</t>
  </si>
  <si>
    <t xml:space="preserve">유니클로</t>
  </si>
  <si>
    <t xml:space="preserve">04661</t>
  </si>
  <si>
    <t xml:space="preserve">W04661</t>
  </si>
  <si>
    <t xml:space="preserve">도쿄 디즈니리조트</t>
  </si>
  <si>
    <t xml:space="preserve">NTT</t>
  </si>
  <si>
    <t xml:space="preserve">09432</t>
  </si>
  <si>
    <t xml:space="preserve">W09432</t>
  </si>
  <si>
    <r>
      <rPr>
        <sz val="11"/>
        <rFont val="Arial"/>
        <family val="0"/>
        <charset val="1"/>
      </rPr>
      <t xml:space="preserve">KT </t>
    </r>
    <r>
      <rPr>
        <sz val="11"/>
        <rFont val="Noto Sans CJK SC"/>
        <family val="2"/>
      </rPr>
      <t xml:space="preserve">짝</t>
    </r>
  </si>
  <si>
    <t xml:space="preserve">KDDI</t>
  </si>
  <si>
    <t xml:space="preserve">09433</t>
  </si>
  <si>
    <t xml:space="preserve">W09433</t>
  </si>
  <si>
    <r>
      <rPr>
        <sz val="11"/>
        <rFont val="Arial"/>
        <family val="0"/>
        <charset val="1"/>
      </rPr>
      <t xml:space="preserve">SK</t>
    </r>
    <r>
      <rPr>
        <sz val="11"/>
        <rFont val="Noto Sans CJK SC"/>
        <family val="2"/>
      </rPr>
      <t xml:space="preserve">텔레콤 짝</t>
    </r>
  </si>
  <si>
    <t xml:space="preserve">소프트뱅크</t>
  </si>
  <si>
    <t xml:space="preserve">09434</t>
  </si>
  <si>
    <t xml:space="preserve">W09434</t>
  </si>
  <si>
    <r>
      <rPr>
        <sz val="11"/>
        <rFont val="Noto Sans CJK SC"/>
        <family val="2"/>
      </rPr>
      <t xml:space="preserve">통신 자회사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소프트뱅크그룹과 다름</t>
    </r>
    <r>
      <rPr>
        <sz val="11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</si>
</sst>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DEDE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0D7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5" min="3" style="0" width="7"/>
    <col collapsed="false" customWidth="true" hidden="false" outlineLevel="0" max="6" min="6" style="0" width="56"/>
    <col collapsed="false" customWidth="true" hidden="false" outlineLevel="0" max="7" min="7" style="0" width="52"/>
    <col collapsed="false" customWidth="true" hidden="false" outlineLevel="0" max="8" min="8" style="0" width="44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48.5" hidden="false" customHeight="false" outlineLevel="0" collapsed="false">
      <c r="A5" s="4" t="n">
        <v>1</v>
      </c>
      <c r="B5" s="5" t="s">
        <v>10</v>
      </c>
      <c r="C5" s="4" t="n">
        <f aca="false">COUNTIFS('종목 목록'!$A$2:$A$69,"국장",'종목 목록'!$C$2:$C$69,$B5,'종목 목록'!$H$2:$H$69,"&lt;&gt;탭 밖 이동")</f>
        <v>14</v>
      </c>
      <c r="D5" s="4" t="n">
        <f aca="false">COUNTIFS('종목 목록'!$A$2:$A$69,"미장",'종목 목록'!$C$2:$C$69,$B5,'종목 목록'!$H$2:$H$69,"&lt;&gt;탭 밖 이동")</f>
        <v>2</v>
      </c>
      <c r="E5" s="4" t="n">
        <f aca="false">COUNTIFS('종목 목록'!$A$2:$A$69,"일장",'종목 목록'!$C$2:$C$69,$B5,'종목 목록'!$H$2:$H$69,"&lt;&gt;탭 밖 이동")</f>
        <v>2</v>
      </c>
      <c r="F5" s="6" t="s">
        <v>11</v>
      </c>
      <c r="G5" s="6" t="s">
        <v>12</v>
      </c>
      <c r="H5" s="6" t="s">
        <v>13</v>
      </c>
    </row>
    <row r="6" customFormat="false" ht="48.5" hidden="false" customHeight="false" outlineLevel="0" collapsed="false">
      <c r="A6" s="4" t="n">
        <v>2</v>
      </c>
      <c r="B6" s="5" t="s">
        <v>14</v>
      </c>
      <c r="C6" s="4" t="n">
        <f aca="false">COUNTIFS('종목 목록'!$A$2:$A$69,"국장",'종목 목록'!$C$2:$C$69,$B6,'종목 목록'!$H$2:$H$69,"&lt;&gt;탭 밖 이동")</f>
        <v>5</v>
      </c>
      <c r="D6" s="4" t="n">
        <f aca="false">COUNTIFS('종목 목록'!$A$2:$A$69,"미장",'종목 목록'!$C$2:$C$69,$B6,'종목 목록'!$H$2:$H$69,"&lt;&gt;탭 밖 이동")</f>
        <v>9</v>
      </c>
      <c r="E6" s="4" t="n">
        <f aca="false">COUNTIFS('종목 목록'!$A$2:$A$69,"일장",'종목 목록'!$C$2:$C$69,$B6,'종목 목록'!$H$2:$H$69,"&lt;&gt;탭 밖 이동")</f>
        <v>2</v>
      </c>
      <c r="F6" s="6" t="s">
        <v>15</v>
      </c>
      <c r="G6" s="6" t="s">
        <v>16</v>
      </c>
      <c r="H6" s="6" t="s">
        <v>17</v>
      </c>
    </row>
    <row r="7" customFormat="false" ht="17.15" hidden="false" customHeight="false" outlineLevel="0" collapsed="false">
      <c r="A7" s="4" t="n">
        <v>3</v>
      </c>
      <c r="B7" s="5" t="s">
        <v>18</v>
      </c>
      <c r="C7" s="4" t="n">
        <f aca="false">COUNTIFS('종목 목록'!$A$2:$A$69,"국장",'종목 목록'!$C$2:$C$69,$B7,'종목 목록'!$H$2:$H$69,"&lt;&gt;탭 밖 이동")</f>
        <v>3</v>
      </c>
      <c r="D7" s="4" t="n">
        <f aca="false">COUNTIFS('종목 목록'!$A$2:$A$69,"미장",'종목 목록'!$C$2:$C$69,$B7,'종목 목록'!$H$2:$H$69,"&lt;&gt;탭 밖 이동")</f>
        <v>3</v>
      </c>
      <c r="E7" s="4" t="n">
        <f aca="false">COUNTIFS('종목 목록'!$A$2:$A$69,"일장",'종목 목록'!$C$2:$C$69,$B7,'종목 목록'!$H$2:$H$69,"&lt;&gt;탭 밖 이동")</f>
        <v>3</v>
      </c>
      <c r="F7" s="6" t="s">
        <v>19</v>
      </c>
      <c r="G7" s="7" t="s">
        <v>20</v>
      </c>
      <c r="H7" s="6" t="s">
        <v>21</v>
      </c>
    </row>
    <row r="8" customFormat="false" ht="17.15" hidden="false" customHeight="false" outlineLevel="0" collapsed="false">
      <c r="A8" s="4" t="n">
        <v>4</v>
      </c>
      <c r="B8" s="5" t="s">
        <v>22</v>
      </c>
      <c r="C8" s="4" t="n">
        <f aca="false">COUNTIFS('종목 목록'!$A$2:$A$69,"국장",'종목 목록'!$C$2:$C$69,$B8,'종목 목록'!$H$2:$H$69,"&lt;&gt;탭 밖 이동")</f>
        <v>5</v>
      </c>
      <c r="D8" s="4" t="n">
        <f aca="false">COUNTIFS('종목 목록'!$A$2:$A$69,"미장",'종목 목록'!$C$2:$C$69,$B8,'종목 목록'!$H$2:$H$69,"&lt;&gt;탭 밖 이동")</f>
        <v>1</v>
      </c>
      <c r="E8" s="4" t="n">
        <f aca="false">COUNTIFS('종목 목록'!$A$2:$A$69,"일장",'종목 목록'!$C$2:$C$69,$B8,'종목 목록'!$H$2:$H$69,"&lt;&gt;탭 밖 이동")</f>
        <v>1</v>
      </c>
      <c r="F8" s="6" t="s">
        <v>23</v>
      </c>
      <c r="G8" s="6" t="s">
        <v>24</v>
      </c>
      <c r="H8" s="6" t="s">
        <v>25</v>
      </c>
    </row>
    <row r="9" customFormat="false" ht="17.15" hidden="false" customHeight="false" outlineLevel="0" collapsed="false">
      <c r="A9" s="4" t="n">
        <v>5</v>
      </c>
      <c r="B9" s="5" t="s">
        <v>26</v>
      </c>
      <c r="C9" s="4" t="n">
        <f aca="false">COUNTIFS('종목 목록'!$A$2:$A$69,"국장",'종목 목록'!$C$2:$C$69,$B9,'종목 목록'!$H$2:$H$69,"&lt;&gt;탭 밖 이동")</f>
        <v>3</v>
      </c>
      <c r="D9" s="4" t="n">
        <f aca="false">COUNTIFS('종목 목록'!$A$2:$A$69,"미장",'종목 목록'!$C$2:$C$69,$B9,'종목 목록'!$H$2:$H$69,"&lt;&gt;탭 밖 이동")</f>
        <v>3</v>
      </c>
      <c r="E9" s="4" t="n">
        <f aca="false">COUNTIFS('종목 목록'!$A$2:$A$69,"일장",'종목 목록'!$C$2:$C$69,$B9,'종목 목록'!$H$2:$H$69,"&lt;&gt;탭 밖 이동")</f>
        <v>3</v>
      </c>
      <c r="F9" s="7" t="s">
        <v>27</v>
      </c>
      <c r="G9" s="6" t="s">
        <v>28</v>
      </c>
      <c r="H9" s="7" t="s">
        <v>29</v>
      </c>
    </row>
    <row r="10" customFormat="false" ht="15" hidden="false" customHeight="false" outlineLevel="0" collapsed="false">
      <c r="B10" s="8" t="s">
        <v>30</v>
      </c>
      <c r="C10" s="9" t="n">
        <f aca="false">SUM(C5:C9)</f>
        <v>30</v>
      </c>
      <c r="D10" s="9" t="n">
        <f aca="false">SUM(D5:D9)</f>
        <v>18</v>
      </c>
      <c r="E10" s="9" t="n">
        <f aca="false">SUM(E5:E9)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8"/>
    <col collapsed="false" customWidth="true" hidden="false" outlineLevel="0" max="3" min="3" style="0" width="2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0" t="s">
        <v>31</v>
      </c>
    </row>
    <row r="3" customFormat="false" ht="15" hidden="false" customHeight="false" outlineLevel="0" collapsed="false">
      <c r="A3" s="11" t="s">
        <v>32</v>
      </c>
      <c r="B3" s="11" t="s">
        <v>33</v>
      </c>
      <c r="C3" s="11" t="s">
        <v>34</v>
      </c>
      <c r="D3" s="11" t="s">
        <v>35</v>
      </c>
    </row>
    <row r="4" customFormat="false" ht="17.15" hidden="false" customHeight="false" outlineLevel="0" collapsed="false">
      <c r="A4" s="12" t="s">
        <v>4</v>
      </c>
      <c r="B4" s="12" t="s">
        <v>36</v>
      </c>
      <c r="C4" s="12" t="s">
        <v>37</v>
      </c>
      <c r="D4" s="13" t="s">
        <v>38</v>
      </c>
    </row>
    <row r="5" customFormat="false" ht="17.15" hidden="false" customHeight="false" outlineLevel="0" collapsed="false">
      <c r="A5" s="12" t="s">
        <v>4</v>
      </c>
      <c r="B5" s="12" t="s">
        <v>36</v>
      </c>
      <c r="C5" s="12" t="s">
        <v>39</v>
      </c>
      <c r="D5" s="13" t="s">
        <v>38</v>
      </c>
    </row>
    <row r="6" customFormat="false" ht="17.15" hidden="false" customHeight="false" outlineLevel="0" collapsed="false">
      <c r="A6" s="12" t="s">
        <v>4</v>
      </c>
      <c r="B6" s="12" t="s">
        <v>36</v>
      </c>
      <c r="C6" s="12" t="s">
        <v>40</v>
      </c>
      <c r="D6" s="13" t="s">
        <v>38</v>
      </c>
    </row>
    <row r="7" customFormat="false" ht="17.15" hidden="false" customHeight="false" outlineLevel="0" collapsed="false">
      <c r="A7" s="12" t="s">
        <v>4</v>
      </c>
      <c r="B7" s="12" t="s">
        <v>36</v>
      </c>
      <c r="C7" s="12" t="s">
        <v>41</v>
      </c>
      <c r="D7" s="13" t="s">
        <v>38</v>
      </c>
    </row>
    <row r="8" customFormat="false" ht="17.15" hidden="false" customHeight="false" outlineLevel="0" collapsed="false">
      <c r="A8" s="12" t="s">
        <v>4</v>
      </c>
      <c r="B8" s="12" t="s">
        <v>36</v>
      </c>
      <c r="C8" s="12" t="s">
        <v>42</v>
      </c>
      <c r="D8" s="13" t="s">
        <v>38</v>
      </c>
    </row>
    <row r="9" customFormat="false" ht="17.15" hidden="false" customHeight="false" outlineLevel="0" collapsed="false">
      <c r="A9" s="12" t="s">
        <v>4</v>
      </c>
      <c r="B9" s="12" t="s">
        <v>43</v>
      </c>
      <c r="C9" s="12" t="s">
        <v>44</v>
      </c>
      <c r="D9" s="13" t="s">
        <v>45</v>
      </c>
    </row>
    <row r="10" customFormat="false" ht="17.15" hidden="false" customHeight="false" outlineLevel="0" collapsed="false">
      <c r="A10" s="12" t="s">
        <v>4</v>
      </c>
      <c r="B10" s="12" t="s">
        <v>43</v>
      </c>
      <c r="C10" s="12" t="s">
        <v>46</v>
      </c>
      <c r="D10" s="13" t="s">
        <v>45</v>
      </c>
    </row>
    <row r="11" customFormat="false" ht="17.15" hidden="false" customHeight="false" outlineLevel="0" collapsed="false">
      <c r="A11" s="12" t="s">
        <v>4</v>
      </c>
      <c r="B11" s="12" t="s">
        <v>47</v>
      </c>
      <c r="C11" s="12" t="s">
        <v>48</v>
      </c>
      <c r="D11" s="13" t="s">
        <v>45</v>
      </c>
    </row>
    <row r="12" customFormat="false" ht="17.15" hidden="false" customHeight="false" outlineLevel="0" collapsed="false">
      <c r="A12" s="12" t="s">
        <v>4</v>
      </c>
      <c r="B12" s="12" t="s">
        <v>47</v>
      </c>
      <c r="C12" s="12" t="s">
        <v>49</v>
      </c>
      <c r="D12" s="13" t="s">
        <v>50</v>
      </c>
    </row>
    <row r="13" customFormat="false" ht="17.15" hidden="false" customHeight="false" outlineLevel="0" collapsed="false">
      <c r="A13" s="12" t="s">
        <v>4</v>
      </c>
      <c r="B13" s="12" t="s">
        <v>47</v>
      </c>
      <c r="C13" s="12" t="s">
        <v>51</v>
      </c>
      <c r="D13" s="13" t="s">
        <v>50</v>
      </c>
    </row>
    <row r="14" customFormat="false" ht="17.15" hidden="false" customHeight="false" outlineLevel="0" collapsed="false">
      <c r="A14" s="12" t="s">
        <v>4</v>
      </c>
      <c r="B14" s="12" t="s">
        <v>47</v>
      </c>
      <c r="C14" s="12" t="s">
        <v>52</v>
      </c>
      <c r="D14" s="13" t="s">
        <v>50</v>
      </c>
    </row>
    <row r="15" customFormat="false" ht="17.15" hidden="false" customHeight="false" outlineLevel="0" collapsed="false">
      <c r="A15" s="12" t="s">
        <v>4</v>
      </c>
      <c r="B15" s="12" t="s">
        <v>47</v>
      </c>
      <c r="C15" s="12" t="s">
        <v>53</v>
      </c>
      <c r="D15" s="13" t="s">
        <v>50</v>
      </c>
    </row>
    <row r="16" customFormat="false" ht="17.15" hidden="false" customHeight="false" outlineLevel="0" collapsed="false">
      <c r="A16" s="12" t="s">
        <v>4</v>
      </c>
      <c r="B16" s="12" t="s">
        <v>47</v>
      </c>
      <c r="C16" s="12" t="s">
        <v>54</v>
      </c>
      <c r="D16" s="13" t="s">
        <v>50</v>
      </c>
    </row>
    <row r="17" customFormat="false" ht="17.15" hidden="false" customHeight="false" outlineLevel="0" collapsed="false">
      <c r="A17" s="12" t="s">
        <v>4</v>
      </c>
      <c r="B17" s="12" t="s">
        <v>55</v>
      </c>
      <c r="C17" s="12" t="s">
        <v>56</v>
      </c>
      <c r="D17" s="13" t="s">
        <v>57</v>
      </c>
    </row>
    <row r="18" customFormat="false" ht="17.15" hidden="false" customHeight="false" outlineLevel="0" collapsed="false">
      <c r="A18" s="12" t="s">
        <v>4</v>
      </c>
      <c r="B18" s="12" t="s">
        <v>55</v>
      </c>
      <c r="C18" s="12" t="s">
        <v>58</v>
      </c>
      <c r="D18" s="13" t="s">
        <v>57</v>
      </c>
    </row>
    <row r="19" customFormat="false" ht="17.15" hidden="false" customHeight="false" outlineLevel="0" collapsed="false">
      <c r="A19" s="12" t="s">
        <v>5</v>
      </c>
      <c r="B19" s="12" t="s">
        <v>59</v>
      </c>
      <c r="C19" s="12" t="s">
        <v>60</v>
      </c>
      <c r="D19" s="13" t="s">
        <v>57</v>
      </c>
    </row>
    <row r="20" customFormat="false" ht="17.15" hidden="false" customHeight="false" outlineLevel="0" collapsed="false">
      <c r="A20" s="12" t="s">
        <v>5</v>
      </c>
      <c r="B20" s="12" t="s">
        <v>59</v>
      </c>
      <c r="C20" s="12" t="s">
        <v>61</v>
      </c>
      <c r="D20" s="13" t="s">
        <v>57</v>
      </c>
    </row>
    <row r="21" customFormat="false" ht="17.15" hidden="false" customHeight="false" outlineLevel="0" collapsed="false">
      <c r="A21" s="12" t="s">
        <v>5</v>
      </c>
      <c r="B21" s="12" t="s">
        <v>59</v>
      </c>
      <c r="C21" s="12" t="s">
        <v>62</v>
      </c>
      <c r="D21" s="13" t="s">
        <v>57</v>
      </c>
    </row>
    <row r="22" customFormat="false" ht="17.15" hidden="false" customHeight="false" outlineLevel="0" collapsed="false">
      <c r="A22" s="12" t="s">
        <v>5</v>
      </c>
      <c r="B22" s="12" t="s">
        <v>59</v>
      </c>
      <c r="C22" s="12" t="s">
        <v>63</v>
      </c>
      <c r="D22" s="13" t="s">
        <v>57</v>
      </c>
    </row>
    <row r="23" customFormat="false" ht="17.15" hidden="false" customHeight="false" outlineLevel="0" collapsed="false">
      <c r="A23" s="12" t="s">
        <v>5</v>
      </c>
      <c r="B23" s="12" t="s">
        <v>59</v>
      </c>
      <c r="C23" s="12" t="s">
        <v>64</v>
      </c>
      <c r="D23" s="13" t="s">
        <v>57</v>
      </c>
    </row>
    <row r="24" customFormat="false" ht="17.15" hidden="false" customHeight="false" outlineLevel="0" collapsed="false">
      <c r="A24" s="12" t="s">
        <v>5</v>
      </c>
      <c r="B24" s="12" t="s">
        <v>59</v>
      </c>
      <c r="C24" s="12" t="s">
        <v>65</v>
      </c>
      <c r="D24" s="13" t="s">
        <v>57</v>
      </c>
    </row>
    <row r="25" customFormat="false" ht="17.15" hidden="false" customHeight="false" outlineLevel="0" collapsed="false">
      <c r="A25" s="12" t="s">
        <v>5</v>
      </c>
      <c r="B25" s="12" t="s">
        <v>59</v>
      </c>
      <c r="C25" s="12" t="s">
        <v>66</v>
      </c>
      <c r="D25" s="13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4"/>
    <col collapsed="false" customWidth="true" hidden="false" outlineLevel="0" max="5" min="4" style="0" width="28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48"/>
  </cols>
  <sheetData>
    <row r="1" customFormat="false" ht="17.15" hidden="false" customHeight="false" outlineLevel="0" collapsed="false">
      <c r="A1" s="11" t="s">
        <v>32</v>
      </c>
      <c r="B1" s="11" t="s">
        <v>67</v>
      </c>
      <c r="C1" s="11" t="s">
        <v>3</v>
      </c>
      <c r="D1" s="11" t="s">
        <v>68</v>
      </c>
      <c r="E1" s="11" t="s">
        <v>34</v>
      </c>
      <c r="F1" s="11" t="s">
        <v>69</v>
      </c>
      <c r="G1" s="11" t="s">
        <v>70</v>
      </c>
      <c r="H1" s="11" t="s">
        <v>71</v>
      </c>
      <c r="I1" s="11" t="s">
        <v>72</v>
      </c>
    </row>
    <row r="2" customFormat="false" ht="17.15" hidden="false" customHeight="false" outlineLevel="0" collapsed="false">
      <c r="A2" s="14" t="s">
        <v>4</v>
      </c>
      <c r="B2" s="15" t="n">
        <v>1</v>
      </c>
      <c r="C2" s="14" t="s">
        <v>10</v>
      </c>
      <c r="D2" s="14" t="s">
        <v>73</v>
      </c>
      <c r="E2" s="14" t="s">
        <v>74</v>
      </c>
      <c r="F2" s="16" t="s">
        <v>75</v>
      </c>
      <c r="G2" s="16" t="s">
        <v>75</v>
      </c>
      <c r="H2" s="14" t="s">
        <v>76</v>
      </c>
      <c r="I2" s="14" t="s">
        <v>77</v>
      </c>
    </row>
    <row r="3" customFormat="false" ht="17.15" hidden="false" customHeight="false" outlineLevel="0" collapsed="false">
      <c r="A3" s="14" t="s">
        <v>4</v>
      </c>
      <c r="B3" s="15" t="n">
        <v>1</v>
      </c>
      <c r="C3" s="14" t="s">
        <v>10</v>
      </c>
      <c r="D3" s="14" t="s">
        <v>73</v>
      </c>
      <c r="E3" s="14" t="s">
        <v>78</v>
      </c>
      <c r="F3" s="16" t="s">
        <v>79</v>
      </c>
      <c r="G3" s="16" t="s">
        <v>79</v>
      </c>
      <c r="H3" s="14" t="s">
        <v>76</v>
      </c>
      <c r="I3" s="14" t="s">
        <v>80</v>
      </c>
    </row>
    <row r="4" customFormat="false" ht="17.15" hidden="false" customHeight="false" outlineLevel="0" collapsed="false">
      <c r="A4" s="14" t="s">
        <v>4</v>
      </c>
      <c r="B4" s="15" t="n">
        <v>1</v>
      </c>
      <c r="C4" s="14" t="s">
        <v>10</v>
      </c>
      <c r="D4" s="14" t="s">
        <v>73</v>
      </c>
      <c r="E4" s="14" t="s">
        <v>81</v>
      </c>
      <c r="F4" s="16" t="s">
        <v>82</v>
      </c>
      <c r="G4" s="16" t="s">
        <v>82</v>
      </c>
      <c r="H4" s="14" t="s">
        <v>76</v>
      </c>
      <c r="I4" s="14"/>
    </row>
    <row r="5" customFormat="false" ht="17.15" hidden="false" customHeight="false" outlineLevel="0" collapsed="false">
      <c r="A5" s="14" t="s">
        <v>4</v>
      </c>
      <c r="B5" s="15" t="n">
        <v>1</v>
      </c>
      <c r="C5" s="14" t="s">
        <v>10</v>
      </c>
      <c r="D5" s="14" t="s">
        <v>73</v>
      </c>
      <c r="E5" s="14" t="s">
        <v>83</v>
      </c>
      <c r="F5" s="16" t="s">
        <v>84</v>
      </c>
      <c r="G5" s="16" t="s">
        <v>84</v>
      </c>
      <c r="H5" s="14" t="s">
        <v>76</v>
      </c>
      <c r="I5" s="14"/>
    </row>
    <row r="6" customFormat="false" ht="17.15" hidden="false" customHeight="false" outlineLevel="0" collapsed="false">
      <c r="A6" s="14" t="s">
        <v>4</v>
      </c>
      <c r="B6" s="15" t="n">
        <v>1</v>
      </c>
      <c r="C6" s="14" t="s">
        <v>10</v>
      </c>
      <c r="D6" s="14" t="s">
        <v>73</v>
      </c>
      <c r="E6" s="14" t="s">
        <v>85</v>
      </c>
      <c r="F6" s="16" t="s">
        <v>86</v>
      </c>
      <c r="G6" s="16" t="s">
        <v>86</v>
      </c>
      <c r="H6" s="14" t="s">
        <v>76</v>
      </c>
      <c r="I6" s="14"/>
    </row>
    <row r="7" customFormat="false" ht="17.15" hidden="false" customHeight="false" outlineLevel="0" collapsed="false">
      <c r="A7" s="14" t="s">
        <v>4</v>
      </c>
      <c r="B7" s="15" t="n">
        <v>1</v>
      </c>
      <c r="C7" s="14" t="s">
        <v>10</v>
      </c>
      <c r="D7" s="14" t="s">
        <v>73</v>
      </c>
      <c r="E7" s="14" t="s">
        <v>87</v>
      </c>
      <c r="F7" s="16" t="s">
        <v>88</v>
      </c>
      <c r="G7" s="16" t="s">
        <v>88</v>
      </c>
      <c r="H7" s="14" t="s">
        <v>76</v>
      </c>
      <c r="I7" s="14"/>
    </row>
    <row r="8" customFormat="false" ht="17.15" hidden="false" customHeight="false" outlineLevel="0" collapsed="false">
      <c r="A8" s="14" t="s">
        <v>4</v>
      </c>
      <c r="B8" s="15" t="n">
        <v>1</v>
      </c>
      <c r="C8" s="14" t="s">
        <v>10</v>
      </c>
      <c r="D8" s="14" t="s">
        <v>73</v>
      </c>
      <c r="E8" s="14" t="s">
        <v>89</v>
      </c>
      <c r="F8" s="16" t="s">
        <v>90</v>
      </c>
      <c r="G8" s="16" t="s">
        <v>90</v>
      </c>
      <c r="H8" s="14" t="s">
        <v>76</v>
      </c>
      <c r="I8" s="14"/>
    </row>
    <row r="9" customFormat="false" ht="17.15" hidden="false" customHeight="false" outlineLevel="0" collapsed="false">
      <c r="A9" s="14" t="s">
        <v>4</v>
      </c>
      <c r="B9" s="15" t="n">
        <v>1</v>
      </c>
      <c r="C9" s="14" t="s">
        <v>10</v>
      </c>
      <c r="D9" s="14" t="s">
        <v>73</v>
      </c>
      <c r="E9" s="14" t="s">
        <v>91</v>
      </c>
      <c r="F9" s="16" t="s">
        <v>92</v>
      </c>
      <c r="G9" s="16" t="s">
        <v>92</v>
      </c>
      <c r="H9" s="14" t="s">
        <v>76</v>
      </c>
      <c r="I9" s="14"/>
    </row>
    <row r="10" customFormat="false" ht="17.15" hidden="false" customHeight="false" outlineLevel="0" collapsed="false">
      <c r="A10" s="14" t="s">
        <v>4</v>
      </c>
      <c r="B10" s="15" t="n">
        <v>1</v>
      </c>
      <c r="C10" s="14" t="s">
        <v>10</v>
      </c>
      <c r="D10" s="14" t="s">
        <v>73</v>
      </c>
      <c r="E10" s="14" t="s">
        <v>93</v>
      </c>
      <c r="F10" s="16" t="s">
        <v>94</v>
      </c>
      <c r="G10" s="16" t="s">
        <v>94</v>
      </c>
      <c r="H10" s="14" t="s">
        <v>76</v>
      </c>
      <c r="I10" s="14"/>
    </row>
    <row r="11" customFormat="false" ht="17.15" hidden="false" customHeight="false" outlineLevel="0" collapsed="false">
      <c r="A11" s="14" t="s">
        <v>4</v>
      </c>
      <c r="B11" s="15" t="n">
        <v>1</v>
      </c>
      <c r="C11" s="14" t="s">
        <v>10</v>
      </c>
      <c r="D11" s="14" t="s">
        <v>73</v>
      </c>
      <c r="E11" s="14" t="s">
        <v>95</v>
      </c>
      <c r="F11" s="16" t="s">
        <v>96</v>
      </c>
      <c r="G11" s="16" t="s">
        <v>96</v>
      </c>
      <c r="H11" s="14" t="s">
        <v>76</v>
      </c>
      <c r="I11" s="14"/>
    </row>
    <row r="12" customFormat="false" ht="17.15" hidden="false" customHeight="false" outlineLevel="0" collapsed="false">
      <c r="A12" s="14" t="s">
        <v>4</v>
      </c>
      <c r="B12" s="15" t="n">
        <v>1</v>
      </c>
      <c r="C12" s="14" t="s">
        <v>10</v>
      </c>
      <c r="D12" s="14" t="s">
        <v>73</v>
      </c>
      <c r="E12" s="14" t="s">
        <v>97</v>
      </c>
      <c r="F12" s="16" t="s">
        <v>98</v>
      </c>
      <c r="G12" s="16" t="s">
        <v>98</v>
      </c>
      <c r="H12" s="14" t="s">
        <v>76</v>
      </c>
      <c r="I12" s="17" t="s">
        <v>99</v>
      </c>
    </row>
    <row r="13" customFormat="false" ht="17.15" hidden="false" customHeight="false" outlineLevel="0" collapsed="false">
      <c r="A13" s="14" t="s">
        <v>4</v>
      </c>
      <c r="B13" s="15" t="n">
        <v>1</v>
      </c>
      <c r="C13" s="14" t="s">
        <v>10</v>
      </c>
      <c r="D13" s="14" t="s">
        <v>73</v>
      </c>
      <c r="E13" s="14" t="s">
        <v>100</v>
      </c>
      <c r="F13" s="16" t="s">
        <v>101</v>
      </c>
      <c r="G13" s="16" t="s">
        <v>101</v>
      </c>
      <c r="H13" s="14" t="s">
        <v>76</v>
      </c>
      <c r="I13" s="17"/>
    </row>
    <row r="14" customFormat="false" ht="17.15" hidden="false" customHeight="false" outlineLevel="0" collapsed="false">
      <c r="A14" s="14" t="s">
        <v>4</v>
      </c>
      <c r="B14" s="15" t="n">
        <v>1</v>
      </c>
      <c r="C14" s="14" t="s">
        <v>10</v>
      </c>
      <c r="D14" s="14" t="s">
        <v>73</v>
      </c>
      <c r="E14" s="14" t="s">
        <v>102</v>
      </c>
      <c r="F14" s="16" t="s">
        <v>103</v>
      </c>
      <c r="G14" s="16" t="s">
        <v>103</v>
      </c>
      <c r="H14" s="14" t="s">
        <v>76</v>
      </c>
      <c r="I14" s="17"/>
    </row>
    <row r="15" customFormat="false" ht="17.15" hidden="false" customHeight="false" outlineLevel="0" collapsed="false">
      <c r="A15" s="14" t="s">
        <v>4</v>
      </c>
      <c r="B15" s="15" t="n">
        <v>1</v>
      </c>
      <c r="C15" s="14" t="s">
        <v>10</v>
      </c>
      <c r="D15" s="14" t="s">
        <v>73</v>
      </c>
      <c r="E15" s="14" t="s">
        <v>104</v>
      </c>
      <c r="F15" s="16" t="s">
        <v>105</v>
      </c>
      <c r="G15" s="16" t="s">
        <v>105</v>
      </c>
      <c r="H15" s="14" t="s">
        <v>76</v>
      </c>
      <c r="I15" s="17"/>
    </row>
    <row r="16" customFormat="false" ht="17.15" hidden="false" customHeight="false" outlineLevel="0" collapsed="false">
      <c r="A16" s="14" t="s">
        <v>4</v>
      </c>
      <c r="B16" s="15" t="n">
        <v>2</v>
      </c>
      <c r="C16" s="14" t="s">
        <v>14</v>
      </c>
      <c r="D16" s="14" t="s">
        <v>36</v>
      </c>
      <c r="E16" s="14" t="s">
        <v>37</v>
      </c>
      <c r="F16" s="16" t="s">
        <v>106</v>
      </c>
      <c r="G16" s="16" t="s">
        <v>106</v>
      </c>
      <c r="H16" s="14" t="s">
        <v>107</v>
      </c>
      <c r="I16" s="14" t="s">
        <v>108</v>
      </c>
    </row>
    <row r="17" customFormat="false" ht="17.15" hidden="false" customHeight="false" outlineLevel="0" collapsed="false">
      <c r="A17" s="14" t="s">
        <v>4</v>
      </c>
      <c r="B17" s="15" t="n">
        <v>2</v>
      </c>
      <c r="C17" s="14" t="s">
        <v>14</v>
      </c>
      <c r="D17" s="14" t="s">
        <v>36</v>
      </c>
      <c r="E17" s="14" t="s">
        <v>39</v>
      </c>
      <c r="F17" s="16" t="s">
        <v>109</v>
      </c>
      <c r="G17" s="16" t="s">
        <v>109</v>
      </c>
      <c r="H17" s="14" t="s">
        <v>107</v>
      </c>
      <c r="I17" s="14" t="s">
        <v>110</v>
      </c>
    </row>
    <row r="18" customFormat="false" ht="17.15" hidden="false" customHeight="false" outlineLevel="0" collapsed="false">
      <c r="A18" s="14" t="s">
        <v>4</v>
      </c>
      <c r="B18" s="15" t="n">
        <v>2</v>
      </c>
      <c r="C18" s="14" t="s">
        <v>14</v>
      </c>
      <c r="D18" s="14" t="s">
        <v>36</v>
      </c>
      <c r="E18" s="14" t="s">
        <v>40</v>
      </c>
      <c r="F18" s="16" t="s">
        <v>111</v>
      </c>
      <c r="G18" s="16" t="s">
        <v>111</v>
      </c>
      <c r="H18" s="14" t="s">
        <v>107</v>
      </c>
      <c r="I18" s="14" t="s">
        <v>110</v>
      </c>
    </row>
    <row r="19" customFormat="false" ht="17.15" hidden="false" customHeight="false" outlineLevel="0" collapsed="false">
      <c r="A19" s="14" t="s">
        <v>4</v>
      </c>
      <c r="B19" s="15" t="n">
        <v>2</v>
      </c>
      <c r="C19" s="14" t="s">
        <v>14</v>
      </c>
      <c r="D19" s="14" t="s">
        <v>36</v>
      </c>
      <c r="E19" s="14" t="s">
        <v>41</v>
      </c>
      <c r="F19" s="16" t="s">
        <v>112</v>
      </c>
      <c r="G19" s="16" t="s">
        <v>112</v>
      </c>
      <c r="H19" s="14" t="s">
        <v>107</v>
      </c>
      <c r="I19" s="14" t="s">
        <v>110</v>
      </c>
    </row>
    <row r="20" customFormat="false" ht="17.15" hidden="false" customHeight="false" outlineLevel="0" collapsed="false">
      <c r="A20" s="14" t="s">
        <v>4</v>
      </c>
      <c r="B20" s="15" t="n">
        <v>2</v>
      </c>
      <c r="C20" s="14" t="s">
        <v>14</v>
      </c>
      <c r="D20" s="14" t="s">
        <v>36</v>
      </c>
      <c r="E20" s="14" t="s">
        <v>42</v>
      </c>
      <c r="F20" s="16" t="s">
        <v>113</v>
      </c>
      <c r="G20" s="16" t="s">
        <v>113</v>
      </c>
      <c r="H20" s="14" t="s">
        <v>107</v>
      </c>
      <c r="I20" s="14" t="s">
        <v>110</v>
      </c>
    </row>
    <row r="21" customFormat="false" ht="17.15" hidden="false" customHeight="false" outlineLevel="0" collapsed="false">
      <c r="A21" s="14" t="s">
        <v>4</v>
      </c>
      <c r="B21" s="15" t="n">
        <v>3</v>
      </c>
      <c r="C21" s="14" t="s">
        <v>18</v>
      </c>
      <c r="D21" s="14" t="s">
        <v>43</v>
      </c>
      <c r="E21" s="14" t="s">
        <v>44</v>
      </c>
      <c r="F21" s="16" t="s">
        <v>114</v>
      </c>
      <c r="G21" s="16" t="s">
        <v>114</v>
      </c>
      <c r="H21" s="14" t="s">
        <v>107</v>
      </c>
      <c r="I21" s="14" t="s">
        <v>115</v>
      </c>
    </row>
    <row r="22" customFormat="false" ht="17.15" hidden="false" customHeight="false" outlineLevel="0" collapsed="false">
      <c r="A22" s="14" t="s">
        <v>4</v>
      </c>
      <c r="B22" s="15" t="n">
        <v>3</v>
      </c>
      <c r="C22" s="14" t="s">
        <v>18</v>
      </c>
      <c r="D22" s="14" t="s">
        <v>43</v>
      </c>
      <c r="E22" s="14" t="s">
        <v>46</v>
      </c>
      <c r="F22" s="16" t="s">
        <v>116</v>
      </c>
      <c r="G22" s="16" t="s">
        <v>116</v>
      </c>
      <c r="H22" s="14" t="s">
        <v>107</v>
      </c>
      <c r="I22" s="14" t="s">
        <v>115</v>
      </c>
    </row>
    <row r="23" customFormat="false" ht="17.15" hidden="false" customHeight="false" outlineLevel="0" collapsed="false">
      <c r="A23" s="14" t="s">
        <v>4</v>
      </c>
      <c r="B23" s="15" t="n">
        <v>3</v>
      </c>
      <c r="C23" s="14" t="s">
        <v>18</v>
      </c>
      <c r="D23" s="14" t="s">
        <v>47</v>
      </c>
      <c r="E23" s="14" t="s">
        <v>48</v>
      </c>
      <c r="F23" s="16" t="s">
        <v>117</v>
      </c>
      <c r="G23" s="16" t="s">
        <v>117</v>
      </c>
      <c r="H23" s="14" t="s">
        <v>107</v>
      </c>
      <c r="I23" s="14" t="s">
        <v>118</v>
      </c>
    </row>
    <row r="24" customFormat="false" ht="17.15" hidden="false" customHeight="false" outlineLevel="0" collapsed="false">
      <c r="A24" s="14" t="s">
        <v>4</v>
      </c>
      <c r="B24" s="15" t="n">
        <v>4</v>
      </c>
      <c r="C24" s="14" t="s">
        <v>22</v>
      </c>
      <c r="D24" s="14" t="s">
        <v>47</v>
      </c>
      <c r="E24" s="14" t="s">
        <v>49</v>
      </c>
      <c r="F24" s="16" t="s">
        <v>119</v>
      </c>
      <c r="G24" s="16" t="s">
        <v>119</v>
      </c>
      <c r="H24" s="14" t="s">
        <v>107</v>
      </c>
      <c r="I24" s="14" t="s">
        <v>120</v>
      </c>
    </row>
    <row r="25" customFormat="false" ht="17.15" hidden="false" customHeight="false" outlineLevel="0" collapsed="false">
      <c r="A25" s="14" t="s">
        <v>4</v>
      </c>
      <c r="B25" s="15" t="n">
        <v>4</v>
      </c>
      <c r="C25" s="14" t="s">
        <v>22</v>
      </c>
      <c r="D25" s="14" t="s">
        <v>47</v>
      </c>
      <c r="E25" s="14" t="s">
        <v>51</v>
      </c>
      <c r="F25" s="16" t="s">
        <v>121</v>
      </c>
      <c r="G25" s="16" t="s">
        <v>121</v>
      </c>
      <c r="H25" s="14" t="s">
        <v>107</v>
      </c>
      <c r="I25" s="14" t="s">
        <v>122</v>
      </c>
    </row>
    <row r="26" customFormat="false" ht="17.15" hidden="false" customHeight="false" outlineLevel="0" collapsed="false">
      <c r="A26" s="14" t="s">
        <v>4</v>
      </c>
      <c r="B26" s="15" t="n">
        <v>4</v>
      </c>
      <c r="C26" s="14" t="s">
        <v>22</v>
      </c>
      <c r="D26" s="14" t="s">
        <v>47</v>
      </c>
      <c r="E26" s="14" t="s">
        <v>52</v>
      </c>
      <c r="F26" s="16" t="s">
        <v>123</v>
      </c>
      <c r="G26" s="16" t="s">
        <v>123</v>
      </c>
      <c r="H26" s="14" t="s">
        <v>107</v>
      </c>
      <c r="I26" s="14" t="s">
        <v>124</v>
      </c>
    </row>
    <row r="27" customFormat="false" ht="17.15" hidden="false" customHeight="false" outlineLevel="0" collapsed="false">
      <c r="A27" s="14" t="s">
        <v>4</v>
      </c>
      <c r="B27" s="15" t="n">
        <v>4</v>
      </c>
      <c r="C27" s="14" t="s">
        <v>22</v>
      </c>
      <c r="D27" s="14" t="s">
        <v>47</v>
      </c>
      <c r="E27" s="14" t="s">
        <v>53</v>
      </c>
      <c r="F27" s="16" t="s">
        <v>125</v>
      </c>
      <c r="G27" s="16" t="s">
        <v>125</v>
      </c>
      <c r="H27" s="14" t="s">
        <v>107</v>
      </c>
      <c r="I27" s="14" t="s">
        <v>126</v>
      </c>
    </row>
    <row r="28" customFormat="false" ht="17.15" hidden="false" customHeight="false" outlineLevel="0" collapsed="false">
      <c r="A28" s="14" t="s">
        <v>4</v>
      </c>
      <c r="B28" s="15" t="n">
        <v>4</v>
      </c>
      <c r="C28" s="14" t="s">
        <v>22</v>
      </c>
      <c r="D28" s="14" t="s">
        <v>47</v>
      </c>
      <c r="E28" s="14" t="s">
        <v>54</v>
      </c>
      <c r="F28" s="16" t="s">
        <v>127</v>
      </c>
      <c r="G28" s="16" t="s">
        <v>127</v>
      </c>
      <c r="H28" s="14" t="s">
        <v>107</v>
      </c>
      <c r="I28" s="14" t="s">
        <v>128</v>
      </c>
    </row>
    <row r="29" customFormat="false" ht="17.15" hidden="false" customHeight="false" outlineLevel="0" collapsed="false">
      <c r="A29" s="14" t="s">
        <v>4</v>
      </c>
      <c r="B29" s="15" t="n">
        <v>5</v>
      </c>
      <c r="C29" s="14" t="s">
        <v>26</v>
      </c>
      <c r="D29" s="14" t="s">
        <v>129</v>
      </c>
      <c r="E29" s="17" t="s">
        <v>130</v>
      </c>
      <c r="F29" s="16" t="s">
        <v>131</v>
      </c>
      <c r="G29" s="16" t="s">
        <v>131</v>
      </c>
      <c r="H29" s="14" t="s">
        <v>76</v>
      </c>
      <c r="I29" s="14" t="s">
        <v>132</v>
      </c>
    </row>
    <row r="30" customFormat="false" ht="17.15" hidden="false" customHeight="false" outlineLevel="0" collapsed="false">
      <c r="A30" s="14" t="s">
        <v>4</v>
      </c>
      <c r="B30" s="15" t="n">
        <v>5</v>
      </c>
      <c r="C30" s="14" t="s">
        <v>26</v>
      </c>
      <c r="D30" s="14" t="s">
        <v>129</v>
      </c>
      <c r="E30" s="17" t="s">
        <v>133</v>
      </c>
      <c r="F30" s="16" t="s">
        <v>134</v>
      </c>
      <c r="G30" s="16" t="s">
        <v>134</v>
      </c>
      <c r="H30" s="14" t="s">
        <v>76</v>
      </c>
      <c r="I30" s="14" t="s">
        <v>132</v>
      </c>
    </row>
    <row r="31" customFormat="false" ht="17.15" hidden="false" customHeight="false" outlineLevel="0" collapsed="false">
      <c r="A31" s="14" t="s">
        <v>4</v>
      </c>
      <c r="B31" s="15" t="n">
        <v>5</v>
      </c>
      <c r="C31" s="14" t="s">
        <v>26</v>
      </c>
      <c r="D31" s="14" t="s">
        <v>129</v>
      </c>
      <c r="E31" s="17" t="s">
        <v>135</v>
      </c>
      <c r="F31" s="16" t="s">
        <v>136</v>
      </c>
      <c r="G31" s="16" t="s">
        <v>136</v>
      </c>
      <c r="H31" s="14" t="s">
        <v>76</v>
      </c>
      <c r="I31" s="14" t="s">
        <v>132</v>
      </c>
    </row>
    <row r="32" customFormat="false" ht="17.15" hidden="false" customHeight="false" outlineLevel="0" collapsed="false">
      <c r="A32" s="14" t="s">
        <v>4</v>
      </c>
      <c r="B32" s="15"/>
      <c r="C32" s="17" t="s">
        <v>57</v>
      </c>
      <c r="D32" s="14" t="s">
        <v>55</v>
      </c>
      <c r="E32" s="14" t="s">
        <v>56</v>
      </c>
      <c r="F32" s="16" t="s">
        <v>137</v>
      </c>
      <c r="G32" s="16" t="s">
        <v>137</v>
      </c>
      <c r="H32" s="14" t="s">
        <v>138</v>
      </c>
      <c r="I32" s="17" t="s">
        <v>139</v>
      </c>
    </row>
    <row r="33" customFormat="false" ht="17.15" hidden="false" customHeight="false" outlineLevel="0" collapsed="false">
      <c r="A33" s="14" t="s">
        <v>4</v>
      </c>
      <c r="B33" s="15"/>
      <c r="C33" s="17" t="s">
        <v>57</v>
      </c>
      <c r="D33" s="14" t="s">
        <v>55</v>
      </c>
      <c r="E33" s="14" t="s">
        <v>58</v>
      </c>
      <c r="F33" s="16" t="s">
        <v>140</v>
      </c>
      <c r="G33" s="16" t="s">
        <v>140</v>
      </c>
      <c r="H33" s="14" t="s">
        <v>138</v>
      </c>
      <c r="I33" s="17" t="s">
        <v>139</v>
      </c>
    </row>
    <row r="34" customFormat="false" ht="17.15" hidden="false" customHeight="false" outlineLevel="0" collapsed="false">
      <c r="A34" s="14" t="s">
        <v>5</v>
      </c>
      <c r="B34" s="15" t="n">
        <v>1</v>
      </c>
      <c r="C34" s="14" t="s">
        <v>10</v>
      </c>
      <c r="D34" s="14" t="s">
        <v>141</v>
      </c>
      <c r="E34" s="14" t="s">
        <v>142</v>
      </c>
      <c r="F34" s="16" t="s">
        <v>143</v>
      </c>
      <c r="G34" s="16" t="s">
        <v>144</v>
      </c>
      <c r="H34" s="14" t="s">
        <v>145</v>
      </c>
      <c r="I34" s="14" t="s">
        <v>146</v>
      </c>
    </row>
    <row r="35" customFormat="false" ht="17.15" hidden="false" customHeight="false" outlineLevel="0" collapsed="false">
      <c r="A35" s="14" t="s">
        <v>5</v>
      </c>
      <c r="B35" s="15" t="n">
        <v>1</v>
      </c>
      <c r="C35" s="14" t="s">
        <v>10</v>
      </c>
      <c r="D35" s="14" t="s">
        <v>141</v>
      </c>
      <c r="E35" s="14" t="s">
        <v>147</v>
      </c>
      <c r="F35" s="16" t="s">
        <v>148</v>
      </c>
      <c r="G35" s="16" t="s">
        <v>149</v>
      </c>
      <c r="H35" s="14" t="s">
        <v>145</v>
      </c>
      <c r="I35" s="14" t="s">
        <v>150</v>
      </c>
    </row>
    <row r="36" customFormat="false" ht="17.15" hidden="false" customHeight="false" outlineLevel="0" collapsed="false">
      <c r="A36" s="14" t="s">
        <v>5</v>
      </c>
      <c r="B36" s="15" t="n">
        <v>2</v>
      </c>
      <c r="C36" s="14" t="s">
        <v>14</v>
      </c>
      <c r="D36" s="14" t="s">
        <v>151</v>
      </c>
      <c r="E36" s="14" t="s">
        <v>152</v>
      </c>
      <c r="F36" s="16" t="s">
        <v>153</v>
      </c>
      <c r="G36" s="16" t="s">
        <v>154</v>
      </c>
      <c r="H36" s="14" t="s">
        <v>76</v>
      </c>
      <c r="I36" s="17"/>
    </row>
    <row r="37" customFormat="false" ht="17.15" hidden="false" customHeight="false" outlineLevel="0" collapsed="false">
      <c r="A37" s="14" t="s">
        <v>5</v>
      </c>
      <c r="B37" s="15" t="n">
        <v>2</v>
      </c>
      <c r="C37" s="14" t="s">
        <v>14</v>
      </c>
      <c r="D37" s="14" t="s">
        <v>151</v>
      </c>
      <c r="E37" s="14" t="s">
        <v>155</v>
      </c>
      <c r="F37" s="16" t="s">
        <v>156</v>
      </c>
      <c r="G37" s="16" t="s">
        <v>157</v>
      </c>
      <c r="H37" s="14" t="s">
        <v>76</v>
      </c>
      <c r="I37" s="17"/>
    </row>
    <row r="38" customFormat="false" ht="17.15" hidden="false" customHeight="false" outlineLevel="0" collapsed="false">
      <c r="A38" s="14" t="s">
        <v>5</v>
      </c>
      <c r="B38" s="15" t="n">
        <v>2</v>
      </c>
      <c r="C38" s="14" t="s">
        <v>14</v>
      </c>
      <c r="D38" s="14" t="s">
        <v>151</v>
      </c>
      <c r="E38" s="14" t="s">
        <v>158</v>
      </c>
      <c r="F38" s="16" t="s">
        <v>159</v>
      </c>
      <c r="G38" s="16" t="s">
        <v>160</v>
      </c>
      <c r="H38" s="14" t="s">
        <v>76</v>
      </c>
      <c r="I38" s="17"/>
    </row>
    <row r="39" customFormat="false" ht="17.15" hidden="false" customHeight="false" outlineLevel="0" collapsed="false">
      <c r="A39" s="14" t="s">
        <v>5</v>
      </c>
      <c r="B39" s="15" t="n">
        <v>2</v>
      </c>
      <c r="C39" s="14" t="s">
        <v>14</v>
      </c>
      <c r="D39" s="14" t="s">
        <v>151</v>
      </c>
      <c r="E39" s="14" t="s">
        <v>161</v>
      </c>
      <c r="F39" s="16" t="s">
        <v>162</v>
      </c>
      <c r="G39" s="16" t="s">
        <v>163</v>
      </c>
      <c r="H39" s="14" t="s">
        <v>76</v>
      </c>
      <c r="I39" s="17"/>
    </row>
    <row r="40" customFormat="false" ht="17.15" hidden="false" customHeight="false" outlineLevel="0" collapsed="false">
      <c r="A40" s="14" t="s">
        <v>5</v>
      </c>
      <c r="B40" s="15" t="n">
        <v>2</v>
      </c>
      <c r="C40" s="14" t="s">
        <v>14</v>
      </c>
      <c r="D40" s="14" t="s">
        <v>151</v>
      </c>
      <c r="E40" s="14" t="s">
        <v>164</v>
      </c>
      <c r="F40" s="16" t="s">
        <v>165</v>
      </c>
      <c r="G40" s="16" t="s">
        <v>166</v>
      </c>
      <c r="H40" s="14" t="s">
        <v>76</v>
      </c>
      <c r="I40" s="17"/>
    </row>
    <row r="41" customFormat="false" ht="17.15" hidden="false" customHeight="false" outlineLevel="0" collapsed="false">
      <c r="A41" s="14" t="s">
        <v>5</v>
      </c>
      <c r="B41" s="15" t="n">
        <v>2</v>
      </c>
      <c r="C41" s="14" t="s">
        <v>14</v>
      </c>
      <c r="D41" s="14" t="s">
        <v>151</v>
      </c>
      <c r="E41" s="14" t="s">
        <v>167</v>
      </c>
      <c r="F41" s="16" t="s">
        <v>168</v>
      </c>
      <c r="G41" s="16" t="s">
        <v>169</v>
      </c>
      <c r="H41" s="14" t="s">
        <v>76</v>
      </c>
      <c r="I41" s="17"/>
    </row>
    <row r="42" customFormat="false" ht="17.15" hidden="false" customHeight="false" outlineLevel="0" collapsed="false">
      <c r="A42" s="14" t="s">
        <v>5</v>
      </c>
      <c r="B42" s="15" t="n">
        <v>2</v>
      </c>
      <c r="C42" s="14" t="s">
        <v>14</v>
      </c>
      <c r="D42" s="14" t="s">
        <v>151</v>
      </c>
      <c r="E42" s="14" t="s">
        <v>170</v>
      </c>
      <c r="F42" s="16" t="s">
        <v>171</v>
      </c>
      <c r="G42" s="16" t="s">
        <v>172</v>
      </c>
      <c r="H42" s="14" t="s">
        <v>76</v>
      </c>
      <c r="I42" s="17"/>
    </row>
    <row r="43" customFormat="false" ht="17.15" hidden="false" customHeight="false" outlineLevel="0" collapsed="false">
      <c r="A43" s="14" t="s">
        <v>5</v>
      </c>
      <c r="B43" s="15" t="n">
        <v>2</v>
      </c>
      <c r="C43" s="14" t="s">
        <v>14</v>
      </c>
      <c r="D43" s="14" t="s">
        <v>151</v>
      </c>
      <c r="E43" s="14" t="s">
        <v>173</v>
      </c>
      <c r="F43" s="16" t="s">
        <v>174</v>
      </c>
      <c r="G43" s="16" t="s">
        <v>175</v>
      </c>
      <c r="H43" s="14" t="s">
        <v>76</v>
      </c>
      <c r="I43" s="17"/>
    </row>
    <row r="44" customFormat="false" ht="17.15" hidden="false" customHeight="false" outlineLevel="0" collapsed="false">
      <c r="A44" s="14" t="s">
        <v>5</v>
      </c>
      <c r="B44" s="15" t="n">
        <v>2</v>
      </c>
      <c r="C44" s="14" t="s">
        <v>14</v>
      </c>
      <c r="D44" s="14" t="s">
        <v>151</v>
      </c>
      <c r="E44" s="14" t="s">
        <v>176</v>
      </c>
      <c r="F44" s="16" t="s">
        <v>177</v>
      </c>
      <c r="G44" s="16" t="s">
        <v>178</v>
      </c>
      <c r="H44" s="14" t="s">
        <v>76</v>
      </c>
      <c r="I44" s="17"/>
    </row>
    <row r="45" customFormat="false" ht="17.15" hidden="false" customHeight="false" outlineLevel="0" collapsed="false">
      <c r="A45" s="14" t="s">
        <v>5</v>
      </c>
      <c r="B45" s="15" t="n">
        <v>3</v>
      </c>
      <c r="C45" s="14" t="s">
        <v>18</v>
      </c>
      <c r="D45" s="14" t="s">
        <v>179</v>
      </c>
      <c r="E45" s="17" t="s">
        <v>180</v>
      </c>
      <c r="F45" s="16" t="s">
        <v>181</v>
      </c>
      <c r="G45" s="16" t="s">
        <v>182</v>
      </c>
      <c r="H45" s="14" t="s">
        <v>76</v>
      </c>
      <c r="I45" s="17"/>
    </row>
    <row r="46" customFormat="false" ht="17.15" hidden="false" customHeight="false" outlineLevel="0" collapsed="false">
      <c r="A46" s="14" t="s">
        <v>5</v>
      </c>
      <c r="B46" s="15" t="n">
        <v>3</v>
      </c>
      <c r="C46" s="14" t="s">
        <v>18</v>
      </c>
      <c r="D46" s="14" t="s">
        <v>179</v>
      </c>
      <c r="E46" s="14" t="s">
        <v>183</v>
      </c>
      <c r="F46" s="16" t="s">
        <v>184</v>
      </c>
      <c r="G46" s="16" t="s">
        <v>185</v>
      </c>
      <c r="H46" s="14" t="s">
        <v>76</v>
      </c>
      <c r="I46" s="17"/>
    </row>
    <row r="47" customFormat="false" ht="17.15" hidden="false" customHeight="false" outlineLevel="0" collapsed="false">
      <c r="A47" s="14" t="s">
        <v>5</v>
      </c>
      <c r="B47" s="15" t="n">
        <v>3</v>
      </c>
      <c r="C47" s="14" t="s">
        <v>18</v>
      </c>
      <c r="D47" s="14" t="s">
        <v>179</v>
      </c>
      <c r="E47" s="14" t="s">
        <v>186</v>
      </c>
      <c r="F47" s="16" t="s">
        <v>187</v>
      </c>
      <c r="G47" s="16" t="s">
        <v>188</v>
      </c>
      <c r="H47" s="14" t="s">
        <v>76</v>
      </c>
      <c r="I47" s="17"/>
    </row>
    <row r="48" customFormat="false" ht="17.15" hidden="false" customHeight="false" outlineLevel="0" collapsed="false">
      <c r="A48" s="14" t="s">
        <v>5</v>
      </c>
      <c r="B48" s="15" t="n">
        <v>4</v>
      </c>
      <c r="C48" s="14" t="s">
        <v>22</v>
      </c>
      <c r="D48" s="14" t="s">
        <v>141</v>
      </c>
      <c r="E48" s="14" t="s">
        <v>24</v>
      </c>
      <c r="F48" s="16" t="s">
        <v>189</v>
      </c>
      <c r="G48" s="16" t="s">
        <v>190</v>
      </c>
      <c r="H48" s="14" t="s">
        <v>145</v>
      </c>
      <c r="I48" s="14" t="s">
        <v>191</v>
      </c>
    </row>
    <row r="49" customFormat="false" ht="17.15" hidden="false" customHeight="false" outlineLevel="0" collapsed="false">
      <c r="A49" s="14" t="s">
        <v>5</v>
      </c>
      <c r="B49" s="15" t="n">
        <v>5</v>
      </c>
      <c r="C49" s="14" t="s">
        <v>26</v>
      </c>
      <c r="D49" s="14" t="s">
        <v>192</v>
      </c>
      <c r="E49" s="14" t="s">
        <v>193</v>
      </c>
      <c r="F49" s="16" t="s">
        <v>194</v>
      </c>
      <c r="G49" s="16" t="s">
        <v>195</v>
      </c>
      <c r="H49" s="14" t="s">
        <v>76</v>
      </c>
      <c r="I49" s="17"/>
    </row>
    <row r="50" customFormat="false" ht="17.15" hidden="false" customHeight="false" outlineLevel="0" collapsed="false">
      <c r="A50" s="14" t="s">
        <v>5</v>
      </c>
      <c r="B50" s="15" t="n">
        <v>5</v>
      </c>
      <c r="C50" s="14" t="s">
        <v>26</v>
      </c>
      <c r="D50" s="14" t="s">
        <v>192</v>
      </c>
      <c r="E50" s="14" t="s">
        <v>196</v>
      </c>
      <c r="F50" s="16" t="s">
        <v>197</v>
      </c>
      <c r="G50" s="16" t="s">
        <v>198</v>
      </c>
      <c r="H50" s="14" t="s">
        <v>76</v>
      </c>
      <c r="I50" s="17"/>
    </row>
    <row r="51" customFormat="false" ht="17.15" hidden="false" customHeight="false" outlineLevel="0" collapsed="false">
      <c r="A51" s="14" t="s">
        <v>5</v>
      </c>
      <c r="B51" s="15" t="n">
        <v>5</v>
      </c>
      <c r="C51" s="14" t="s">
        <v>26</v>
      </c>
      <c r="D51" s="14" t="s">
        <v>192</v>
      </c>
      <c r="E51" s="17" t="s">
        <v>199</v>
      </c>
      <c r="F51" s="16" t="s">
        <v>200</v>
      </c>
      <c r="G51" s="16" t="s">
        <v>201</v>
      </c>
      <c r="H51" s="14" t="s">
        <v>76</v>
      </c>
      <c r="I51" s="14" t="s">
        <v>202</v>
      </c>
    </row>
    <row r="52" customFormat="false" ht="17.15" hidden="false" customHeight="false" outlineLevel="0" collapsed="false">
      <c r="A52" s="14" t="s">
        <v>5</v>
      </c>
      <c r="B52" s="15"/>
      <c r="C52" s="17" t="s">
        <v>57</v>
      </c>
      <c r="D52" s="14" t="s">
        <v>59</v>
      </c>
      <c r="E52" s="14" t="s">
        <v>60</v>
      </c>
      <c r="F52" s="16" t="s">
        <v>203</v>
      </c>
      <c r="G52" s="16" t="s">
        <v>204</v>
      </c>
      <c r="H52" s="14" t="s">
        <v>138</v>
      </c>
      <c r="I52" s="17" t="s">
        <v>139</v>
      </c>
    </row>
    <row r="53" customFormat="false" ht="17.15" hidden="false" customHeight="false" outlineLevel="0" collapsed="false">
      <c r="A53" s="14" t="s">
        <v>5</v>
      </c>
      <c r="B53" s="15"/>
      <c r="C53" s="17" t="s">
        <v>57</v>
      </c>
      <c r="D53" s="14" t="s">
        <v>59</v>
      </c>
      <c r="E53" s="14" t="s">
        <v>61</v>
      </c>
      <c r="F53" s="16" t="s">
        <v>205</v>
      </c>
      <c r="G53" s="16" t="s">
        <v>206</v>
      </c>
      <c r="H53" s="14" t="s">
        <v>138</v>
      </c>
      <c r="I53" s="17" t="s">
        <v>139</v>
      </c>
    </row>
    <row r="54" customFormat="false" ht="17.15" hidden="false" customHeight="false" outlineLevel="0" collapsed="false">
      <c r="A54" s="14" t="s">
        <v>5</v>
      </c>
      <c r="B54" s="15"/>
      <c r="C54" s="17" t="s">
        <v>57</v>
      </c>
      <c r="D54" s="14" t="s">
        <v>59</v>
      </c>
      <c r="E54" s="14" t="s">
        <v>62</v>
      </c>
      <c r="F54" s="16" t="s">
        <v>207</v>
      </c>
      <c r="G54" s="16" t="s">
        <v>208</v>
      </c>
      <c r="H54" s="14" t="s">
        <v>138</v>
      </c>
      <c r="I54" s="17" t="s">
        <v>139</v>
      </c>
    </row>
    <row r="55" customFormat="false" ht="17.15" hidden="false" customHeight="false" outlineLevel="0" collapsed="false">
      <c r="A55" s="14" t="s">
        <v>5</v>
      </c>
      <c r="B55" s="15"/>
      <c r="C55" s="17" t="s">
        <v>57</v>
      </c>
      <c r="D55" s="14" t="s">
        <v>59</v>
      </c>
      <c r="E55" s="14" t="s">
        <v>63</v>
      </c>
      <c r="F55" s="16" t="s">
        <v>209</v>
      </c>
      <c r="G55" s="16" t="s">
        <v>210</v>
      </c>
      <c r="H55" s="14" t="s">
        <v>138</v>
      </c>
      <c r="I55" s="17" t="s">
        <v>139</v>
      </c>
    </row>
    <row r="56" customFormat="false" ht="17.15" hidden="false" customHeight="false" outlineLevel="0" collapsed="false">
      <c r="A56" s="14" t="s">
        <v>5</v>
      </c>
      <c r="B56" s="15"/>
      <c r="C56" s="17" t="s">
        <v>57</v>
      </c>
      <c r="D56" s="14" t="s">
        <v>59</v>
      </c>
      <c r="E56" s="14" t="s">
        <v>64</v>
      </c>
      <c r="F56" s="16" t="s">
        <v>211</v>
      </c>
      <c r="G56" s="16" t="s">
        <v>212</v>
      </c>
      <c r="H56" s="14" t="s">
        <v>138</v>
      </c>
      <c r="I56" s="17" t="s">
        <v>139</v>
      </c>
    </row>
    <row r="57" customFormat="false" ht="17.15" hidden="false" customHeight="false" outlineLevel="0" collapsed="false">
      <c r="A57" s="14" t="s">
        <v>5</v>
      </c>
      <c r="B57" s="15"/>
      <c r="C57" s="17" t="s">
        <v>57</v>
      </c>
      <c r="D57" s="14" t="s">
        <v>59</v>
      </c>
      <c r="E57" s="14" t="s">
        <v>65</v>
      </c>
      <c r="F57" s="16" t="s">
        <v>213</v>
      </c>
      <c r="G57" s="16" t="s">
        <v>214</v>
      </c>
      <c r="H57" s="14" t="s">
        <v>138</v>
      </c>
      <c r="I57" s="17" t="s">
        <v>139</v>
      </c>
    </row>
    <row r="58" customFormat="false" ht="17.15" hidden="false" customHeight="false" outlineLevel="0" collapsed="false">
      <c r="A58" s="14" t="s">
        <v>5</v>
      </c>
      <c r="B58" s="15"/>
      <c r="C58" s="17" t="s">
        <v>57</v>
      </c>
      <c r="D58" s="14" t="s">
        <v>59</v>
      </c>
      <c r="E58" s="14" t="s">
        <v>66</v>
      </c>
      <c r="F58" s="16" t="s">
        <v>215</v>
      </c>
      <c r="G58" s="16" t="s">
        <v>216</v>
      </c>
      <c r="H58" s="14" t="s">
        <v>138</v>
      </c>
      <c r="I58" s="17" t="s">
        <v>139</v>
      </c>
    </row>
    <row r="59" customFormat="false" ht="17.15" hidden="false" customHeight="false" outlineLevel="0" collapsed="false">
      <c r="A59" s="14" t="s">
        <v>6</v>
      </c>
      <c r="B59" s="15" t="n">
        <v>1</v>
      </c>
      <c r="C59" s="14" t="s">
        <v>10</v>
      </c>
      <c r="D59" s="14" t="s">
        <v>141</v>
      </c>
      <c r="E59" s="14" t="s">
        <v>217</v>
      </c>
      <c r="F59" s="16" t="s">
        <v>218</v>
      </c>
      <c r="G59" s="16" t="s">
        <v>219</v>
      </c>
      <c r="H59" s="14" t="s">
        <v>145</v>
      </c>
      <c r="I59" s="14" t="s">
        <v>220</v>
      </c>
    </row>
    <row r="60" customFormat="false" ht="17.15" hidden="false" customHeight="false" outlineLevel="0" collapsed="false">
      <c r="A60" s="14" t="s">
        <v>6</v>
      </c>
      <c r="B60" s="15" t="n">
        <v>1</v>
      </c>
      <c r="C60" s="14" t="s">
        <v>10</v>
      </c>
      <c r="D60" s="14" t="s">
        <v>141</v>
      </c>
      <c r="E60" s="14" t="s">
        <v>221</v>
      </c>
      <c r="F60" s="16" t="s">
        <v>222</v>
      </c>
      <c r="G60" s="16" t="s">
        <v>223</v>
      </c>
      <c r="H60" s="14" t="s">
        <v>145</v>
      </c>
      <c r="I60" s="17"/>
    </row>
    <row r="61" customFormat="false" ht="17.15" hidden="false" customHeight="false" outlineLevel="0" collapsed="false">
      <c r="A61" s="14" t="s">
        <v>6</v>
      </c>
      <c r="B61" s="15" t="n">
        <v>2</v>
      </c>
      <c r="C61" s="14" t="s">
        <v>14</v>
      </c>
      <c r="D61" s="14" t="s">
        <v>141</v>
      </c>
      <c r="E61" s="14" t="s">
        <v>224</v>
      </c>
      <c r="F61" s="16" t="s">
        <v>225</v>
      </c>
      <c r="G61" s="16" t="s">
        <v>226</v>
      </c>
      <c r="H61" s="14" t="s">
        <v>145</v>
      </c>
      <c r="I61" s="14" t="s">
        <v>227</v>
      </c>
    </row>
    <row r="62" customFormat="false" ht="17.15" hidden="false" customHeight="false" outlineLevel="0" collapsed="false">
      <c r="A62" s="14" t="s">
        <v>6</v>
      </c>
      <c r="B62" s="15" t="n">
        <v>2</v>
      </c>
      <c r="C62" s="14" t="s">
        <v>14</v>
      </c>
      <c r="D62" s="14" t="s">
        <v>141</v>
      </c>
      <c r="E62" s="14" t="s">
        <v>228</v>
      </c>
      <c r="F62" s="16" t="s">
        <v>229</v>
      </c>
      <c r="G62" s="16" t="s">
        <v>230</v>
      </c>
      <c r="H62" s="14" t="s">
        <v>145</v>
      </c>
      <c r="I62" s="14" t="s">
        <v>231</v>
      </c>
    </row>
    <row r="63" customFormat="false" ht="17.15" hidden="false" customHeight="false" outlineLevel="0" collapsed="false">
      <c r="A63" s="14" t="s">
        <v>6</v>
      </c>
      <c r="B63" s="15" t="n">
        <v>3</v>
      </c>
      <c r="C63" s="14" t="s">
        <v>18</v>
      </c>
      <c r="D63" s="14" t="s">
        <v>141</v>
      </c>
      <c r="E63" s="14" t="s">
        <v>232</v>
      </c>
      <c r="F63" s="16" t="s">
        <v>233</v>
      </c>
      <c r="G63" s="16" t="s">
        <v>234</v>
      </c>
      <c r="H63" s="14" t="s">
        <v>145</v>
      </c>
      <c r="I63" s="14" t="s">
        <v>235</v>
      </c>
    </row>
    <row r="64" customFormat="false" ht="17.15" hidden="false" customHeight="false" outlineLevel="0" collapsed="false">
      <c r="A64" s="14" t="s">
        <v>6</v>
      </c>
      <c r="B64" s="15" t="n">
        <v>3</v>
      </c>
      <c r="C64" s="14" t="s">
        <v>18</v>
      </c>
      <c r="D64" s="14" t="s">
        <v>141</v>
      </c>
      <c r="E64" s="14" t="s">
        <v>236</v>
      </c>
      <c r="F64" s="16" t="s">
        <v>237</v>
      </c>
      <c r="G64" s="16" t="s">
        <v>238</v>
      </c>
      <c r="H64" s="14" t="s">
        <v>145</v>
      </c>
      <c r="I64" s="14" t="s">
        <v>239</v>
      </c>
    </row>
    <row r="65" customFormat="false" ht="17.15" hidden="false" customHeight="false" outlineLevel="0" collapsed="false">
      <c r="A65" s="14" t="s">
        <v>6</v>
      </c>
      <c r="B65" s="15" t="n">
        <v>3</v>
      </c>
      <c r="C65" s="14" t="s">
        <v>18</v>
      </c>
      <c r="D65" s="14" t="s">
        <v>141</v>
      </c>
      <c r="E65" s="14" t="s">
        <v>240</v>
      </c>
      <c r="F65" s="16" t="s">
        <v>241</v>
      </c>
      <c r="G65" s="16" t="s">
        <v>242</v>
      </c>
      <c r="H65" s="14" t="s">
        <v>145</v>
      </c>
      <c r="I65" s="14" t="s">
        <v>243</v>
      </c>
    </row>
    <row r="66" customFormat="false" ht="17.15" hidden="false" customHeight="false" outlineLevel="0" collapsed="false">
      <c r="A66" s="14" t="s">
        <v>6</v>
      </c>
      <c r="B66" s="15" t="n">
        <v>4</v>
      </c>
      <c r="C66" s="14" t="s">
        <v>22</v>
      </c>
      <c r="D66" s="14" t="s">
        <v>141</v>
      </c>
      <c r="E66" s="14" t="s">
        <v>25</v>
      </c>
      <c r="F66" s="16" t="s">
        <v>244</v>
      </c>
      <c r="G66" s="16" t="s">
        <v>245</v>
      </c>
      <c r="H66" s="14" t="s">
        <v>145</v>
      </c>
      <c r="I66" s="14" t="s">
        <v>246</v>
      </c>
    </row>
    <row r="67" customFormat="false" ht="17.15" hidden="false" customHeight="false" outlineLevel="0" collapsed="false">
      <c r="A67" s="14" t="s">
        <v>6</v>
      </c>
      <c r="B67" s="15" t="n">
        <v>5</v>
      </c>
      <c r="C67" s="14" t="s">
        <v>26</v>
      </c>
      <c r="D67" s="14" t="s">
        <v>141</v>
      </c>
      <c r="E67" s="17" t="s">
        <v>247</v>
      </c>
      <c r="F67" s="16" t="s">
        <v>248</v>
      </c>
      <c r="G67" s="16" t="s">
        <v>249</v>
      </c>
      <c r="H67" s="14" t="s">
        <v>145</v>
      </c>
      <c r="I67" s="17" t="s">
        <v>250</v>
      </c>
    </row>
    <row r="68" customFormat="false" ht="17.15" hidden="false" customHeight="false" outlineLevel="0" collapsed="false">
      <c r="A68" s="14" t="s">
        <v>6</v>
      </c>
      <c r="B68" s="15" t="n">
        <v>5</v>
      </c>
      <c r="C68" s="14" t="s">
        <v>26</v>
      </c>
      <c r="D68" s="14" t="s">
        <v>141</v>
      </c>
      <c r="E68" s="17" t="s">
        <v>251</v>
      </c>
      <c r="F68" s="16" t="s">
        <v>252</v>
      </c>
      <c r="G68" s="16" t="s">
        <v>253</v>
      </c>
      <c r="H68" s="14" t="s">
        <v>145</v>
      </c>
      <c r="I68" s="17" t="s">
        <v>254</v>
      </c>
    </row>
    <row r="69" customFormat="false" ht="17.15" hidden="false" customHeight="false" outlineLevel="0" collapsed="false">
      <c r="A69" s="14" t="s">
        <v>6</v>
      </c>
      <c r="B69" s="15" t="n">
        <v>5</v>
      </c>
      <c r="C69" s="14" t="s">
        <v>26</v>
      </c>
      <c r="D69" s="14" t="s">
        <v>141</v>
      </c>
      <c r="E69" s="14" t="s">
        <v>255</v>
      </c>
      <c r="F69" s="16" t="s">
        <v>256</v>
      </c>
      <c r="G69" s="16" t="s">
        <v>257</v>
      </c>
      <c r="H69" s="14" t="s">
        <v>145</v>
      </c>
      <c r="I69" s="14" t="s">
        <v>258</v>
      </c>
    </row>
  </sheetData>
  <autoFilter ref="A1:I69"/>
  <conditionalFormatting sqref="A2:I69">
    <cfRule type="expression" priority="2" aboveAverage="0" equalAverage="0" bottom="0" percent="0" rank="0" text="" dxfId="6">
      <formula>$H2="구간 이동"</formula>
    </cfRule>
    <cfRule type="expression" priority="3" aboveAverage="0" equalAverage="0" bottom="0" percent="0" rank="0" text="" dxfId="7">
      <formula>$H2="추가"</formula>
    </cfRule>
    <cfRule type="expression" priority="4" aboveAverage="0" equalAverage="0" bottom="0" percent="0" rank="0" text="" dxfId="8">
      <formula>$H2="신규"</formula>
    </cfRule>
    <cfRule type="expression" priority="5" aboveAverage="0" equalAverage="0" bottom="0" percent="0" rank="0" text="" dxfId="9">
      <formula>$H2="탭 밖 이동"</formula>
    </cfRule>
  </conditionalFormatting>
  <dataValidations count="1">
    <dataValidation allowBlank="false" errorStyle="stop" operator="between" showDropDown="false" showErrorMessage="false" showInputMessage="false" sqref="H2:H69" type="list">
      <formula1>"유지,구간 이동,추가,신규,탭 밖 이동"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2026-10-15T06:17:04Z</dcterms:created>
  <dc:creator>openpyxl</dc:creator>
  <dc:description/>
  <dc:language>en-US</dc:language>
  <cp:lastModifiedBy/>
  <dcterms:modified xsi:type="dcterms:W3CDTF">2026-10-15T06:17:04Z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