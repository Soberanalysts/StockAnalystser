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구간 표준" sheetId="1" state="visible" r:id="rId3"/>
    <sheet name="원래 그룹 정리" sheetId="2" state="visible" r:id="rId4"/>
    <sheet name="확인 필요" sheetId="3" state="visible" r:id="rId5"/>
    <sheet name="종목 목록" sheetId="4" state="visible" r:id="rId6"/>
  </sheets>
  <definedNames>
    <definedName function="false" hidden="true" localSheetId="3" name="_xlnm._FilterDatabase" vbProcedure="false">'종목 목록'!$A$1:$I$89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<sst xmlns="http://schemas.openxmlformats.org/spreadsheetml/2006/main" count="912" uniqueCount="367">
  <si>
    <r>
      <rPr>
        <b val="true"/>
        <sz val="14"/>
        <rFont val="Arial"/>
        <family val="0"/>
        <charset val="1"/>
      </rPr>
      <t xml:space="preserve">04 </t>
    </r>
    <r>
      <rPr>
        <b val="true"/>
        <sz val="14"/>
        <rFont val="Noto Sans CJK SC"/>
        <family val="2"/>
      </rPr>
      <t xml:space="preserve">방산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Noto Sans CJK SC"/>
        <family val="2"/>
      </rPr>
      <t xml:space="preserve">우주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Noto Sans CJK SC"/>
        <family val="2"/>
      </rPr>
      <t xml:space="preserve">조선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Noto Sans CJK SC"/>
        <family val="2"/>
      </rPr>
      <t xml:space="preserve">해운 구간 표준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Noto Sans CJK SC"/>
        <family val="2"/>
      </rPr>
      <t xml:space="preserve">국장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Noto Sans CJK SC"/>
        <family val="2"/>
      </rPr>
      <t xml:space="preserve">미장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Noto Sans CJK SC"/>
        <family val="2"/>
      </rPr>
      <t xml:space="preserve">일장 공통 순서</t>
    </r>
    <r>
      <rPr>
        <b val="true"/>
        <sz val="14"/>
        <rFont val="Arial"/>
        <family val="0"/>
        <charset val="1"/>
      </rPr>
      <t xml:space="preserve">)</t>
    </r>
  </si>
  <si>
    <r>
      <rPr>
        <i val="true"/>
        <sz val="9"/>
        <color rgb="FF666666"/>
        <rFont val="Noto Sans CJK SC"/>
        <family val="2"/>
      </rPr>
      <t xml:space="preserve">종목 수는 </t>
    </r>
    <r>
      <rPr>
        <i val="true"/>
        <sz val="9"/>
        <color rgb="FF666666"/>
        <rFont val="Arial"/>
        <family val="0"/>
        <charset val="1"/>
      </rPr>
      <t xml:space="preserve">'</t>
    </r>
    <r>
      <rPr>
        <i val="true"/>
        <sz val="9"/>
        <color rgb="FF666666"/>
        <rFont val="Noto Sans CJK SC"/>
        <family val="2"/>
      </rPr>
      <t xml:space="preserve">종목 목록</t>
    </r>
    <r>
      <rPr>
        <i val="true"/>
        <sz val="9"/>
        <color rgb="FF666666"/>
        <rFont val="Arial"/>
        <family val="0"/>
        <charset val="1"/>
      </rPr>
      <t xml:space="preserve">' </t>
    </r>
    <r>
      <rPr>
        <i val="true"/>
        <sz val="9"/>
        <color rgb="FF666666"/>
        <rFont val="Noto Sans CJK SC"/>
        <family val="2"/>
      </rPr>
      <t xml:space="preserve">시트에서 자동 집계</t>
    </r>
    <r>
      <rPr>
        <i val="true"/>
        <sz val="9"/>
        <color rgb="FF666666"/>
        <rFont val="Arial"/>
        <family val="0"/>
        <charset val="1"/>
      </rPr>
      <t xml:space="preserve">("</t>
    </r>
    <r>
      <rPr>
        <i val="true"/>
        <sz val="9"/>
        <color rgb="FF666666"/>
        <rFont val="Noto Sans CJK SC"/>
        <family val="2"/>
      </rPr>
      <t xml:space="preserve">탭 밖 이동</t>
    </r>
    <r>
      <rPr>
        <i val="true"/>
        <sz val="9"/>
        <color rgb="FF666666"/>
        <rFont val="Arial"/>
        <family val="0"/>
        <charset val="1"/>
      </rPr>
      <t xml:space="preserve">" </t>
    </r>
    <r>
      <rPr>
        <i val="true"/>
        <sz val="9"/>
        <color rgb="FF666666"/>
        <rFont val="Noto Sans CJK SC"/>
        <family val="2"/>
      </rPr>
      <t xml:space="preserve">제외</t>
    </r>
    <r>
      <rPr>
        <i val="true"/>
        <sz val="9"/>
        <color rgb="FF666666"/>
        <rFont val="Arial"/>
        <family val="0"/>
        <charset val="1"/>
      </rPr>
      <t xml:space="preserve">). </t>
    </r>
    <r>
      <rPr>
        <i val="true"/>
        <sz val="9"/>
        <color rgb="FF666666"/>
        <rFont val="Noto Sans CJK SC"/>
        <family val="2"/>
      </rPr>
      <t xml:space="preserve">신규 종목은 종목 목록 시트에 파란색으로 표시</t>
    </r>
    <r>
      <rPr>
        <i val="true"/>
        <sz val="9"/>
        <color rgb="FF666666"/>
        <rFont val="Arial"/>
        <family val="0"/>
        <charset val="1"/>
      </rPr>
      <t xml:space="preserve">.</t>
    </r>
  </si>
  <si>
    <t xml:space="preserve">순서</t>
  </si>
  <si>
    <t xml:space="preserve">표준 구간</t>
  </si>
  <si>
    <t xml:space="preserve">국장</t>
  </si>
  <si>
    <t xml:space="preserve">미장</t>
  </si>
  <si>
    <t xml:space="preserve">일장</t>
  </si>
  <si>
    <t xml:space="preserve">국장 종목</t>
  </si>
  <si>
    <t xml:space="preserve">미장 종목</t>
  </si>
  <si>
    <t xml:space="preserve">일장 종목</t>
  </si>
  <si>
    <t xml:space="preserve">방산 체계</t>
  </si>
  <si>
    <r>
      <rPr>
        <sz val="11"/>
        <rFont val="Noto Sans CJK SC"/>
        <family val="2"/>
      </rPr>
      <t xml:space="preserve">한화시스템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현대로템</t>
    </r>
    <r>
      <rPr>
        <sz val="11"/>
        <rFont val="Arial"/>
        <family val="0"/>
        <charset val="1"/>
      </rPr>
      <t xml:space="preserve">, LIG</t>
    </r>
    <r>
      <rPr>
        <sz val="11"/>
        <rFont val="Noto Sans CJK SC"/>
        <family val="2"/>
      </rPr>
      <t xml:space="preserve">디펜스앤에어로스페이스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풍산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한화에어로스페이스</t>
    </r>
  </si>
  <si>
    <r>
      <rPr>
        <sz val="11"/>
        <rFont val="Noto Sans CJK SC"/>
        <family val="2"/>
      </rPr>
      <t xml:space="preserve">록히드 마틴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액손 엔터프라이즈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제너럴 다이내믹스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노스롭 그루만</t>
    </r>
    <r>
      <rPr>
        <sz val="11"/>
        <rFont val="Arial"/>
        <family val="0"/>
        <charset val="1"/>
      </rPr>
      <t xml:space="preserve">, L3 </t>
    </r>
    <r>
      <rPr>
        <sz val="11"/>
        <rFont val="Noto Sans CJK SC"/>
        <family val="2"/>
      </rPr>
      <t xml:space="preserve">해리스 테크놀로지스</t>
    </r>
  </si>
  <si>
    <r>
      <rPr>
        <sz val="11"/>
        <rFont val="Noto Sans CJK SC"/>
        <family val="2"/>
      </rPr>
      <t xml:space="preserve">미쓰비시 중공업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가와사키중공업</t>
    </r>
  </si>
  <si>
    <t xml:space="preserve">방산 부품</t>
  </si>
  <si>
    <r>
      <rPr>
        <sz val="11"/>
        <rFont val="Noto Sans CJK SC"/>
        <family val="2"/>
      </rPr>
      <t xml:space="preserve">빅텍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삼현</t>
    </r>
  </si>
  <si>
    <t xml:space="preserve">–</t>
  </si>
  <si>
    <r>
      <rPr>
        <sz val="11"/>
        <rFont val="Noto Sans CJK SC"/>
        <family val="2"/>
      </rPr>
      <t xml:space="preserve">미쓰비시전기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쿄세라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하마마쓰포토닉스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무라타 제작</t>
    </r>
    <r>
      <rPr>
        <sz val="11"/>
        <rFont val="Arial"/>
        <family val="0"/>
        <charset val="1"/>
      </rPr>
      <t xml:space="preserve">, TDK, </t>
    </r>
    <r>
      <rPr>
        <sz val="11"/>
        <rFont val="Noto Sans CJK SC"/>
        <family val="2"/>
      </rPr>
      <t xml:space="preserve">스미토모 전기</t>
    </r>
  </si>
  <si>
    <t xml:space="preserve">항공</t>
  </si>
  <si>
    <r>
      <rPr>
        <sz val="11"/>
        <rFont val="Noto Sans CJK SC"/>
        <family val="2"/>
      </rPr>
      <t xml:space="preserve">한국항공우주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켄코아에어로스페이스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아스트</t>
    </r>
  </si>
  <si>
    <r>
      <rPr>
        <sz val="11"/>
        <rFont val="Noto Sans CJK SC"/>
        <family val="2"/>
      </rPr>
      <t xml:space="preserve">하우멧 에어로스페이스</t>
    </r>
    <r>
      <rPr>
        <sz val="11"/>
        <rFont val="Arial"/>
        <family val="0"/>
        <charset val="1"/>
      </rPr>
      <t xml:space="preserve">, GE</t>
    </r>
    <r>
      <rPr>
        <sz val="11"/>
        <rFont val="Noto Sans CJK SC"/>
        <family val="2"/>
      </rPr>
      <t xml:space="preserve">에어로스페이스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보잉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트랜스다임 그룹</t>
    </r>
  </si>
  <si>
    <t xml:space="preserve">IHI</t>
  </si>
  <si>
    <t xml:space="preserve">우주 위성</t>
  </si>
  <si>
    <r>
      <rPr>
        <sz val="11"/>
        <rFont val="Noto Sans CJK SC"/>
        <family val="2"/>
      </rPr>
      <t xml:space="preserve">이녹스첨단소재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인텔리안테크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스피어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나라스페이스테크놀로지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쎄트렉아이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비츠로넥스텍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에이치브이엠</t>
    </r>
    <r>
      <rPr>
        <sz val="11"/>
        <rFont val="Arial"/>
        <family val="0"/>
        <charset val="1"/>
      </rPr>
      <t xml:space="preserve">, AP</t>
    </r>
    <r>
      <rPr>
        <sz val="11"/>
        <rFont val="Noto Sans CJK SC"/>
        <family val="2"/>
      </rPr>
      <t xml:space="preserve">위성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나노팀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와이제이링크</t>
    </r>
  </si>
  <si>
    <r>
      <rPr>
        <sz val="11"/>
        <rFont val="Noto Sans CJK SC"/>
        <family val="2"/>
      </rPr>
      <t xml:space="preserve">로켓 랩</t>
    </r>
    <r>
      <rPr>
        <sz val="11"/>
        <rFont val="Arial"/>
        <family val="0"/>
        <charset val="1"/>
      </rPr>
      <t xml:space="preserve">, AST </t>
    </r>
    <r>
      <rPr>
        <sz val="11"/>
        <rFont val="Noto Sans CJK SC"/>
        <family val="2"/>
      </rPr>
      <t xml:space="preserve">스페이스모바일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인튜이티브 머신스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스페이스</t>
    </r>
    <r>
      <rPr>
        <sz val="11"/>
        <rFont val="Arial"/>
        <family val="0"/>
        <charset val="1"/>
      </rPr>
      <t xml:space="preserve">X</t>
    </r>
  </si>
  <si>
    <r>
      <rPr>
        <sz val="11"/>
        <rFont val="Arial"/>
        <family val="0"/>
        <charset val="1"/>
      </rPr>
      <t xml:space="preserve">ispace, QPS</t>
    </r>
    <r>
      <rPr>
        <sz val="11"/>
        <rFont val="Noto Sans CJK SC"/>
        <family val="2"/>
      </rPr>
      <t xml:space="preserve">연구소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아스트로스케일</t>
    </r>
  </si>
  <si>
    <t xml:space="preserve">드론</t>
  </si>
  <si>
    <r>
      <rPr>
        <sz val="11"/>
        <rFont val="Noto Sans CJK SC"/>
        <family val="2"/>
      </rPr>
      <t xml:space="preserve">퍼스텍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제이씨현시스템</t>
    </r>
  </si>
  <si>
    <r>
      <rPr>
        <sz val="11"/>
        <rFont val="Noto Sans CJK SC"/>
        <family val="2"/>
      </rPr>
      <t xml:space="preserve">에어로바이런먼트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온다스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레드 캣 홀딩스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크라토스 디펜스</t>
    </r>
  </si>
  <si>
    <r>
      <rPr>
        <sz val="11"/>
        <rFont val="Noto Sans CJK SC"/>
        <family val="2"/>
      </rPr>
      <t xml:space="preserve">테라드론</t>
    </r>
    <r>
      <rPr>
        <sz val="11"/>
        <rFont val="Arial"/>
        <family val="0"/>
        <charset val="1"/>
      </rPr>
      <t xml:space="preserve">, ACSL</t>
    </r>
  </si>
  <si>
    <t xml:space="preserve">조선</t>
  </si>
  <si>
    <r>
      <rPr>
        <sz val="11"/>
        <rFont val="Noto Sans CJK SC"/>
        <family val="2"/>
      </rPr>
      <t xml:space="preserve">한화오션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대한조선</t>
    </r>
    <r>
      <rPr>
        <sz val="11"/>
        <rFont val="Arial"/>
        <family val="0"/>
        <charset val="1"/>
      </rPr>
      <t xml:space="preserve">, HD</t>
    </r>
    <r>
      <rPr>
        <sz val="11"/>
        <rFont val="Noto Sans CJK SC"/>
        <family val="2"/>
      </rPr>
      <t xml:space="preserve">현대중공업</t>
    </r>
    <r>
      <rPr>
        <sz val="11"/>
        <rFont val="Arial"/>
        <family val="0"/>
        <charset val="1"/>
      </rPr>
      <t xml:space="preserve">, HD</t>
    </r>
    <r>
      <rPr>
        <sz val="11"/>
        <rFont val="Noto Sans CJK SC"/>
        <family val="2"/>
      </rPr>
      <t xml:space="preserve">한국조선해양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삼성중공업</t>
    </r>
  </si>
  <si>
    <t xml:space="preserve">헌팅턴 잉걸스 인더스트리스</t>
  </si>
  <si>
    <t xml:space="preserve">나무라조선소</t>
  </si>
  <si>
    <t xml:space="preserve">조선기자재</t>
  </si>
  <si>
    <r>
      <rPr>
        <sz val="11"/>
        <rFont val="Arial"/>
        <family val="0"/>
        <charset val="1"/>
      </rPr>
      <t xml:space="preserve">SK</t>
    </r>
    <r>
      <rPr>
        <sz val="11"/>
        <rFont val="Noto Sans CJK SC"/>
        <family val="2"/>
      </rPr>
      <t xml:space="preserve">오션플랜트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한화엔진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케이프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세진중공업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현대힘스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오리엔탈정공</t>
    </r>
    <r>
      <rPr>
        <sz val="11"/>
        <rFont val="Arial"/>
        <family val="0"/>
        <charset val="1"/>
      </rPr>
      <t xml:space="preserve">, HD</t>
    </r>
    <r>
      <rPr>
        <sz val="11"/>
        <rFont val="Noto Sans CJK SC"/>
        <family val="2"/>
      </rPr>
      <t xml:space="preserve">현대마린엔진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에스엔시스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성광벤드</t>
    </r>
    <r>
      <rPr>
        <sz val="11"/>
        <rFont val="Arial"/>
        <family val="0"/>
        <charset val="1"/>
      </rPr>
      <t xml:space="preserve">, HD</t>
    </r>
    <r>
      <rPr>
        <sz val="11"/>
        <rFont val="Noto Sans CJK SC"/>
        <family val="2"/>
      </rPr>
      <t xml:space="preserve">현대마린솔루션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태웅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한국카본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티엠씨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한라</t>
    </r>
    <r>
      <rPr>
        <sz val="11"/>
        <rFont val="Arial"/>
        <family val="0"/>
        <charset val="1"/>
      </rPr>
      <t xml:space="preserve">IMS, </t>
    </r>
    <r>
      <rPr>
        <sz val="11"/>
        <rFont val="Noto Sans CJK SC"/>
        <family val="2"/>
      </rPr>
      <t xml:space="preserve">동성화인텍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태광</t>
    </r>
  </si>
  <si>
    <t xml:space="preserve">미쓰이이앤에스</t>
  </si>
  <si>
    <t xml:space="preserve">해운</t>
  </si>
  <si>
    <r>
      <rPr>
        <sz val="11"/>
        <rFont val="Arial"/>
        <family val="0"/>
        <charset val="1"/>
      </rPr>
      <t xml:space="preserve">HMM, </t>
    </r>
    <r>
      <rPr>
        <sz val="11"/>
        <rFont val="Noto Sans CJK SC"/>
        <family val="2"/>
      </rPr>
      <t xml:space="preserve">대한해운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팬오션</t>
    </r>
    <r>
      <rPr>
        <sz val="11"/>
        <rFont val="Arial"/>
        <family val="0"/>
        <charset val="1"/>
      </rPr>
      <t xml:space="preserve">, STX</t>
    </r>
    <r>
      <rPr>
        <sz val="11"/>
        <rFont val="Noto Sans CJK SC"/>
        <family val="2"/>
      </rPr>
      <t xml:space="preserve">그린로지스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흥아해운</t>
    </r>
    <r>
      <rPr>
        <sz val="11"/>
        <rFont val="Arial"/>
        <family val="0"/>
        <charset val="1"/>
      </rPr>
      <t xml:space="preserve">, KSS</t>
    </r>
    <r>
      <rPr>
        <sz val="11"/>
        <rFont val="Noto Sans CJK SC"/>
        <family val="2"/>
      </rPr>
      <t xml:space="preserve">해운</t>
    </r>
  </si>
  <si>
    <r>
      <rPr>
        <sz val="11"/>
        <rFont val="Noto Sans CJK SC"/>
        <family val="2"/>
      </rPr>
      <t xml:space="preserve">로빈 에너지</t>
    </r>
    <r>
      <rPr>
        <sz val="11"/>
        <rFont val="Arial"/>
        <family val="0"/>
        <charset val="1"/>
      </rPr>
      <t xml:space="preserve">, ZIM </t>
    </r>
    <r>
      <rPr>
        <sz val="11"/>
        <rFont val="Noto Sans CJK SC"/>
        <family val="2"/>
      </rPr>
      <t xml:space="preserve">인티그레이티드 시핑</t>
    </r>
  </si>
  <si>
    <r>
      <rPr>
        <sz val="11"/>
        <rFont val="Noto Sans CJK SC"/>
        <family val="2"/>
      </rPr>
      <t xml:space="preserve">카와사키 기선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미쓰이</t>
    </r>
    <r>
      <rPr>
        <sz val="11"/>
        <rFont val="Arial"/>
        <family val="0"/>
        <charset val="1"/>
      </rPr>
      <t xml:space="preserve">O.S.K.</t>
    </r>
    <r>
      <rPr>
        <sz val="11"/>
        <rFont val="Noto Sans CJK SC"/>
        <family val="2"/>
      </rPr>
      <t xml:space="preserve">상선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니혼유센</t>
    </r>
  </si>
  <si>
    <t xml:space="preserve">합계</t>
  </si>
  <si>
    <t xml:space="preserve">불러온 뒤 원래 그룹에서 빼야 할 종목</t>
  </si>
  <si>
    <t xml:space="preserve">시장</t>
  </si>
  <si>
    <t xml:space="preserve">원래 위치</t>
  </si>
  <si>
    <t xml:space="preserve">종목명</t>
  </si>
  <si>
    <t xml:space="preserve">옮겨간 곳</t>
  </si>
  <si>
    <r>
      <rPr>
        <sz val="11"/>
        <rFont val="Noto Sans CJK SC"/>
        <family val="2"/>
      </rPr>
      <t xml:space="preserve">주요테마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해운</t>
    </r>
  </si>
  <si>
    <t xml:space="preserve">HMM</t>
  </si>
  <si>
    <r>
      <rPr>
        <sz val="11"/>
        <rFont val="Arial"/>
        <family val="0"/>
        <charset val="1"/>
      </rPr>
      <t xml:space="preserve">04 </t>
    </r>
    <r>
      <rPr>
        <sz val="11"/>
        <rFont val="Noto Sans CJK SC"/>
        <family val="2"/>
      </rPr>
      <t xml:space="preserve">방산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우주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조선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해운</t>
    </r>
  </si>
  <si>
    <t xml:space="preserve">대한해운</t>
  </si>
  <si>
    <t xml:space="preserve">팬오션</t>
  </si>
  <si>
    <r>
      <rPr>
        <sz val="11"/>
        <rFont val="Arial"/>
        <family val="0"/>
        <charset val="1"/>
      </rPr>
      <t xml:space="preserve">STX</t>
    </r>
    <r>
      <rPr>
        <sz val="11"/>
        <rFont val="Noto Sans CJK SC"/>
        <family val="2"/>
      </rPr>
      <t xml:space="preserve">그린로지스</t>
    </r>
  </si>
  <si>
    <t xml:space="preserve">흥아해운</t>
  </si>
  <si>
    <r>
      <rPr>
        <sz val="11"/>
        <rFont val="Arial"/>
        <family val="0"/>
        <charset val="1"/>
      </rPr>
      <t xml:space="preserve">KSS</t>
    </r>
    <r>
      <rPr>
        <sz val="11"/>
        <rFont val="Noto Sans CJK SC"/>
        <family val="2"/>
      </rPr>
      <t xml:space="preserve">해운</t>
    </r>
  </si>
  <si>
    <r>
      <rPr>
        <sz val="11"/>
        <rFont val="Noto Sans CJK SC"/>
        <family val="2"/>
      </rPr>
      <t xml:space="preserve">미국 정책 수혜주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방위</t>
    </r>
    <r>
      <rPr>
        <sz val="11"/>
        <rFont val="Arial"/>
        <family val="0"/>
        <charset val="1"/>
      </rPr>
      <t xml:space="preserve">(ITA)</t>
    </r>
  </si>
  <si>
    <t xml:space="preserve">록히드 마틴</t>
  </si>
  <si>
    <r>
      <rPr>
        <sz val="11"/>
        <rFont val="Arial"/>
        <family val="0"/>
        <charset val="1"/>
      </rPr>
      <t xml:space="preserve">04 </t>
    </r>
    <r>
      <rPr>
        <sz val="11"/>
        <rFont val="Noto Sans CJK SC"/>
        <family val="2"/>
      </rPr>
      <t xml:space="preserve">방산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우주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조선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방산 체계</t>
    </r>
  </si>
  <si>
    <t xml:space="preserve">액손 엔터프라이즈</t>
  </si>
  <si>
    <t xml:space="preserve">제너럴 다이내믹스</t>
  </si>
  <si>
    <t xml:space="preserve">노스롭 그루만</t>
  </si>
  <si>
    <r>
      <rPr>
        <sz val="11"/>
        <rFont val="Arial"/>
        <family val="0"/>
        <charset val="1"/>
      </rPr>
      <t xml:space="preserve">L3 </t>
    </r>
    <r>
      <rPr>
        <sz val="11"/>
        <rFont val="Noto Sans CJK SC"/>
        <family val="2"/>
      </rPr>
      <t xml:space="preserve">해리스 테크놀로지스</t>
    </r>
  </si>
  <si>
    <t xml:space="preserve">하우멧 에어로스페이스</t>
  </si>
  <si>
    <r>
      <rPr>
        <sz val="11"/>
        <rFont val="Arial"/>
        <family val="0"/>
        <charset val="1"/>
      </rPr>
      <t xml:space="preserve">04 </t>
    </r>
    <r>
      <rPr>
        <sz val="11"/>
        <rFont val="Noto Sans CJK SC"/>
        <family val="2"/>
      </rPr>
      <t xml:space="preserve">방산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우주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조선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항공</t>
    </r>
  </si>
  <si>
    <r>
      <rPr>
        <sz val="11"/>
        <rFont val="Arial"/>
        <family val="0"/>
        <charset val="1"/>
      </rPr>
      <t xml:space="preserve">GE</t>
    </r>
    <r>
      <rPr>
        <sz val="11"/>
        <rFont val="Noto Sans CJK SC"/>
        <family val="2"/>
      </rPr>
      <t xml:space="preserve">에어로스페이스</t>
    </r>
  </si>
  <si>
    <t xml:space="preserve">보잉</t>
  </si>
  <si>
    <t xml:space="preserve">트랜스다임 그룹</t>
  </si>
  <si>
    <r>
      <rPr>
        <sz val="11"/>
        <rFont val="Noto Sans CJK SC"/>
        <family val="2"/>
      </rPr>
      <t xml:space="preserve">미국 </t>
    </r>
    <r>
      <rPr>
        <sz val="11"/>
        <rFont val="Arial"/>
        <family val="0"/>
        <charset val="1"/>
      </rPr>
      <t xml:space="preserve">new / SPACE</t>
    </r>
  </si>
  <si>
    <t xml:space="preserve">로켓 랩</t>
  </si>
  <si>
    <r>
      <rPr>
        <sz val="11"/>
        <rFont val="Arial"/>
        <family val="0"/>
        <charset val="1"/>
      </rPr>
      <t xml:space="preserve">04 </t>
    </r>
    <r>
      <rPr>
        <sz val="11"/>
        <rFont val="Noto Sans CJK SC"/>
        <family val="2"/>
      </rPr>
      <t xml:space="preserve">방산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우주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조선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우주 위성</t>
    </r>
  </si>
  <si>
    <r>
      <rPr>
        <sz val="11"/>
        <rFont val="Arial"/>
        <family val="0"/>
        <charset val="1"/>
      </rPr>
      <t xml:space="preserve">AST </t>
    </r>
    <r>
      <rPr>
        <sz val="11"/>
        <rFont val="Noto Sans CJK SC"/>
        <family val="2"/>
      </rPr>
      <t xml:space="preserve">스페이스모바일</t>
    </r>
  </si>
  <si>
    <t xml:space="preserve">인튜이티브 머신스</t>
  </si>
  <si>
    <r>
      <rPr>
        <sz val="11"/>
        <rFont val="Noto Sans CJK SC"/>
        <family val="2"/>
      </rPr>
      <t xml:space="preserve">스페이스</t>
    </r>
    <r>
      <rPr>
        <sz val="11"/>
        <rFont val="Arial"/>
        <family val="0"/>
        <charset val="1"/>
      </rPr>
      <t xml:space="preserve">X</t>
    </r>
  </si>
  <si>
    <t xml:space="preserve">에어로바이런먼트</t>
  </si>
  <si>
    <r>
      <rPr>
        <sz val="11"/>
        <rFont val="Arial"/>
        <family val="0"/>
        <charset val="1"/>
      </rPr>
      <t xml:space="preserve">04 </t>
    </r>
    <r>
      <rPr>
        <sz val="11"/>
        <rFont val="Noto Sans CJK SC"/>
        <family val="2"/>
      </rPr>
      <t xml:space="preserve">방산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우주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조선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드론</t>
    </r>
  </si>
  <si>
    <t xml:space="preserve">온다스</t>
  </si>
  <si>
    <t xml:space="preserve">레드 캣 홀딩스</t>
  </si>
  <si>
    <r>
      <rPr>
        <sz val="11"/>
        <rFont val="Noto Sans CJK SC"/>
        <family val="2"/>
      </rPr>
      <t xml:space="preserve">미국 정책 수혜주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해운업</t>
    </r>
  </si>
  <si>
    <t xml:space="preserve">로빈 에너지</t>
  </si>
  <si>
    <r>
      <rPr>
        <sz val="11"/>
        <rFont val="Noto Sans CJK SC"/>
        <family val="2"/>
      </rPr>
      <t xml:space="preserve">일본 섹터별 종목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방산부품</t>
    </r>
  </si>
  <si>
    <t xml:space="preserve">미쓰비시 중공업</t>
  </si>
  <si>
    <t xml:space="preserve">미쓰비시전기</t>
  </si>
  <si>
    <r>
      <rPr>
        <sz val="11"/>
        <rFont val="Arial"/>
        <family val="0"/>
        <charset val="1"/>
      </rPr>
      <t xml:space="preserve">04 </t>
    </r>
    <r>
      <rPr>
        <sz val="11"/>
        <rFont val="Noto Sans CJK SC"/>
        <family val="2"/>
      </rPr>
      <t xml:space="preserve">방산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우주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조선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방산 부품</t>
    </r>
  </si>
  <si>
    <t xml:space="preserve">쿄세라</t>
  </si>
  <si>
    <t xml:space="preserve">하마마쓰포토닉스</t>
  </si>
  <si>
    <t xml:space="preserve">무라타 제작</t>
  </si>
  <si>
    <t xml:space="preserve">TDK</t>
  </si>
  <si>
    <t xml:space="preserve">스미토모 전기</t>
  </si>
  <si>
    <r>
      <rPr>
        <sz val="11"/>
        <rFont val="Noto Sans CJK SC"/>
        <family val="2"/>
      </rPr>
      <t xml:space="preserve">일본 섹터별 종목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해운</t>
    </r>
  </si>
  <si>
    <t xml:space="preserve">카와사키 기선</t>
  </si>
  <si>
    <r>
      <rPr>
        <sz val="11"/>
        <rFont val="Noto Sans CJK SC"/>
        <family val="2"/>
      </rPr>
      <t xml:space="preserve">미쓰이</t>
    </r>
    <r>
      <rPr>
        <sz val="11"/>
        <rFont val="Arial"/>
        <family val="0"/>
        <charset val="1"/>
      </rPr>
      <t xml:space="preserve">O.S.K.</t>
    </r>
    <r>
      <rPr>
        <sz val="11"/>
        <rFont val="Noto Sans CJK SC"/>
        <family val="2"/>
      </rPr>
      <t xml:space="preserve">상선</t>
    </r>
  </si>
  <si>
    <t xml:space="preserve">결정이 필요한 항목</t>
  </si>
  <si>
    <t xml:space="preserve">항목</t>
  </si>
  <si>
    <t xml:space="preserve">현재 처리</t>
  </si>
  <si>
    <t xml:space="preserve">검토 내용</t>
  </si>
  <si>
    <t xml:space="preserve">추천</t>
  </si>
  <si>
    <r>
      <rPr>
        <b val="true"/>
        <sz val="11"/>
        <color rgb="FFFFFFFF"/>
        <rFont val="Noto Sans CJK SC"/>
        <family val="2"/>
      </rPr>
      <t xml:space="preserve">결정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직접 입력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</si>
  <si>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이녹스첨단소재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나노팀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와이제이링크</t>
    </r>
  </si>
  <si>
    <t xml:space="preserve">우주 위성 구간 유지</t>
  </si>
  <si>
    <r>
      <rPr>
        <sz val="11"/>
        <rFont val="Noto Sans CJK SC"/>
        <family val="2"/>
      </rPr>
      <t xml:space="preserve">본업이 소재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방열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장비라 우주 연관성 약함</t>
    </r>
  </si>
  <si>
    <r>
      <rPr>
        <sz val="11"/>
        <rFont val="Noto Sans CJK SC"/>
        <family val="2"/>
      </rPr>
      <t xml:space="preserve">넣은 이유가 있으면 유지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아니면 반도체 소재 탭으로</t>
    </r>
  </si>
  <si>
    <t xml:space="preserve">삼현</t>
  </si>
  <si>
    <r>
      <rPr>
        <sz val="11"/>
        <rFont val="Noto Sans CJK SC"/>
        <family val="2"/>
      </rPr>
      <t xml:space="preserve">방산 부품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로봇 탭과 중복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</si>
  <si>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방산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로봇용 구동장치</t>
    </r>
  </si>
  <si>
    <t xml:space="preserve">의도적 중복 유지</t>
  </si>
  <si>
    <t xml:space="preserve">한화에어로스페이스</t>
  </si>
  <si>
    <t xml:space="preserve">우주항공 → 방산 체계</t>
  </si>
  <si>
    <r>
      <rPr>
        <sz val="11"/>
        <rFont val="Noto Sans CJK SC"/>
        <family val="2"/>
      </rPr>
      <t xml:space="preserve">매출 대부분 방산</t>
    </r>
    <r>
      <rPr>
        <sz val="11"/>
        <rFont val="Arial"/>
        <family val="0"/>
        <charset val="1"/>
      </rPr>
      <t xml:space="preserve">(K9·</t>
    </r>
    <r>
      <rPr>
        <sz val="11"/>
        <rFont val="Noto Sans CJK SC"/>
        <family val="2"/>
      </rPr>
      <t xml:space="preserve">레드백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과 항공엔진</t>
    </r>
  </si>
  <si>
    <r>
      <rPr>
        <sz val="11"/>
        <rFont val="Noto Sans CJK SC"/>
        <family val="2"/>
      </rPr>
      <t xml:space="preserve">치안 장비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테이저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바디캠</t>
    </r>
    <r>
      <rPr>
        <sz val="11"/>
        <rFont val="Arial"/>
        <family val="0"/>
        <charset val="1"/>
      </rPr>
      <t xml:space="preserve">), ITA ETF </t>
    </r>
    <r>
      <rPr>
        <sz val="11"/>
        <rFont val="Noto Sans CJK SC"/>
        <family val="2"/>
      </rPr>
      <t xml:space="preserve">편입</t>
    </r>
  </si>
  <si>
    <t xml:space="preserve">유지 또는 제외</t>
  </si>
  <si>
    <r>
      <rPr>
        <sz val="11"/>
        <rFont val="Noto Sans CJK SC"/>
        <family val="2"/>
      </rPr>
      <t xml:space="preserve">쿄세라</t>
    </r>
    <r>
      <rPr>
        <sz val="11"/>
        <rFont val="Arial"/>
        <family val="0"/>
        <charset val="1"/>
      </rPr>
      <t xml:space="preserve">, TDK, </t>
    </r>
    <r>
      <rPr>
        <sz val="11"/>
        <rFont val="Noto Sans CJK SC"/>
        <family val="2"/>
      </rPr>
      <t xml:space="preserve">무라타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하마마쓰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스미토모전기</t>
    </r>
  </si>
  <si>
    <r>
      <rPr>
        <sz val="11"/>
        <rFont val="Noto Sans CJK SC"/>
        <family val="2"/>
      </rPr>
      <t xml:space="preserve">방산 부품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원래 구간 유지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</si>
  <si>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일반 전자부품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방산 매출 비중 작음</t>
    </r>
  </si>
  <si>
    <t xml:space="preserve">미쓰비시전기만 남기고 정리해도 됨</t>
  </si>
  <si>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시장</t>
    </r>
  </si>
  <si>
    <r>
      <rPr>
        <sz val="11"/>
        <rFont val="Arial"/>
        <family val="0"/>
        <charset val="1"/>
      </rPr>
      <t xml:space="preserve">04 </t>
    </r>
    <r>
      <rPr>
        <sz val="11"/>
        <rFont val="Noto Sans CJK SC"/>
        <family val="2"/>
      </rPr>
      <t xml:space="preserve">탭 맨 아래 해운 구간</t>
    </r>
  </si>
  <si>
    <t xml:space="preserve">조선 수주와 운임 사이클 연결</t>
  </si>
  <si>
    <t xml:space="preserve">이 탭 유지</t>
  </si>
  <si>
    <t xml:space="preserve">건설</t>
  </si>
  <si>
    <t xml:space="preserve">주요테마 탭에 그대로</t>
  </si>
  <si>
    <r>
      <rPr>
        <sz val="11"/>
        <rFont val="Noto Sans CJK SC"/>
        <family val="2"/>
      </rPr>
      <t xml:space="preserve">원전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플랜트 수주와 부동산 정책 두 갈래</t>
    </r>
  </si>
  <si>
    <r>
      <rPr>
        <sz val="11"/>
        <rFont val="Arial"/>
        <family val="0"/>
        <charset val="1"/>
      </rPr>
      <t xml:space="preserve">13 </t>
    </r>
    <r>
      <rPr>
        <sz val="11"/>
        <rFont val="Noto Sans CJK SC"/>
        <family val="2"/>
      </rPr>
      <t xml:space="preserve">테마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건설 인프라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미장 </t>
    </r>
    <r>
      <rPr>
        <sz val="11"/>
        <rFont val="Arial"/>
        <family val="0"/>
        <charset val="1"/>
      </rPr>
      <t xml:space="preserve">PAVE </t>
    </r>
    <r>
      <rPr>
        <sz val="11"/>
        <rFont val="Noto Sans CJK SC"/>
        <family val="2"/>
      </rPr>
      <t xml:space="preserve">인프라와 짝</t>
    </r>
    <r>
      <rPr>
        <sz val="11"/>
        <rFont val="Arial"/>
        <family val="0"/>
        <charset val="1"/>
      </rPr>
      <t xml:space="preserve">)</t>
    </r>
  </si>
  <si>
    <t xml:space="preserve">엔터</t>
  </si>
  <si>
    <t xml:space="preserve">종목 없음</t>
  </si>
  <si>
    <t xml:space="preserve">콘텐츠 소비</t>
  </si>
  <si>
    <r>
      <rPr>
        <sz val="11"/>
        <rFont val="Arial"/>
        <family val="0"/>
        <charset val="1"/>
      </rPr>
      <t xml:space="preserve">12 </t>
    </r>
    <r>
      <rPr>
        <sz val="11"/>
        <rFont val="Noto Sans CJK SC"/>
        <family val="2"/>
      </rPr>
      <t xml:space="preserve">소비재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엔터 콘텐츠 구간 신설</t>
    </r>
  </si>
  <si>
    <r>
      <rPr>
        <sz val="11"/>
        <rFont val="Noto Sans CJK SC"/>
        <family val="2"/>
      </rPr>
      <t xml:space="preserve">일장 신규 </t>
    </r>
    <r>
      <rPr>
        <sz val="11"/>
        <rFont val="Arial"/>
        <family val="0"/>
        <charset val="1"/>
      </rPr>
      <t xml:space="preserve">10</t>
    </r>
    <r>
      <rPr>
        <sz val="11"/>
        <rFont val="Noto Sans CJK SC"/>
        <family val="2"/>
      </rPr>
      <t xml:space="preserve">종목 코드</t>
    </r>
  </si>
  <si>
    <r>
      <rPr>
        <sz val="11"/>
        <rFont val="Noto Sans CJK SC"/>
        <family val="2"/>
      </rPr>
      <t xml:space="preserve">추가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코드 미검증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</si>
  <si>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가와사키중공업</t>
    </r>
    <r>
      <rPr>
        <sz val="11"/>
        <rFont val="Arial"/>
        <family val="0"/>
        <charset val="1"/>
      </rPr>
      <t xml:space="preserve">, IHI, ispace, QPS</t>
    </r>
    <r>
      <rPr>
        <sz val="11"/>
        <rFont val="Noto Sans CJK SC"/>
        <family val="2"/>
      </rPr>
      <t xml:space="preserve">연구소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아스트로스케일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테라드론</t>
    </r>
    <r>
      <rPr>
        <sz val="11"/>
        <rFont val="Arial"/>
        <family val="0"/>
        <charset val="1"/>
      </rPr>
      <t xml:space="preserve">, ACSL, </t>
    </r>
    <r>
      <rPr>
        <sz val="11"/>
        <rFont val="Noto Sans CJK SC"/>
        <family val="2"/>
      </rPr>
      <t xml:space="preserve">나무라조선소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미쓰이이앤에스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니혼유센</t>
    </r>
  </si>
  <si>
    <r>
      <rPr>
        <sz val="11"/>
        <rFont val="Noto Sans CJK SC"/>
        <family val="2"/>
      </rPr>
      <t xml:space="preserve">영웅문 </t>
    </r>
    <r>
      <rPr>
        <sz val="11"/>
        <rFont val="Arial"/>
        <family val="0"/>
        <charset val="1"/>
      </rPr>
      <t xml:space="preserve">Global</t>
    </r>
    <r>
      <rPr>
        <sz val="11"/>
        <rFont val="Noto Sans CJK SC"/>
        <family val="2"/>
      </rPr>
      <t xml:space="preserve">에서 종목명 확인</t>
    </r>
  </si>
  <si>
    <r>
      <rPr>
        <b val="true"/>
        <sz val="10"/>
        <rFont val="Noto Sans CJK SC"/>
        <family val="2"/>
      </rPr>
      <t xml:space="preserve">빈칸메모 입력 순서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세 시장 공통</t>
    </r>
    <r>
      <rPr>
        <b val="true"/>
        <sz val="10"/>
        <rFont val="Arial"/>
        <family val="0"/>
        <charset val="1"/>
      </rPr>
      <t xml:space="preserve">): </t>
    </r>
    <r>
      <rPr>
        <b val="true"/>
        <sz val="10"/>
        <rFont val="Noto Sans CJK SC"/>
        <family val="2"/>
      </rPr>
      <t xml:space="preserve">방산 체계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Noto Sans CJK SC"/>
        <family val="2"/>
      </rPr>
      <t xml:space="preserve">방산 부품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Noto Sans CJK SC"/>
        <family val="2"/>
      </rPr>
      <t xml:space="preserve">항공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Noto Sans CJK SC"/>
        <family val="2"/>
      </rPr>
      <t xml:space="preserve">우주 위성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Noto Sans CJK SC"/>
        <family val="2"/>
      </rPr>
      <t xml:space="preserve">드론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Noto Sans CJK SC"/>
        <family val="2"/>
      </rPr>
      <t xml:space="preserve">조선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Noto Sans CJK SC"/>
        <family val="2"/>
      </rPr>
      <t xml:space="preserve">조선기자재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Noto Sans CJK SC"/>
        <family val="2"/>
      </rPr>
      <t xml:space="preserve">해운 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미장은 방산 부품</t>
    </r>
    <r>
      <rPr>
        <b val="true"/>
        <sz val="10"/>
        <rFont val="Arial"/>
        <family val="0"/>
        <charset val="1"/>
      </rPr>
      <t xml:space="preserve">, </t>
    </r>
    <r>
      <rPr>
        <b val="true"/>
        <sz val="10"/>
        <rFont val="Noto Sans CJK SC"/>
        <family val="2"/>
      </rPr>
      <t xml:space="preserve">조선기자재 없음</t>
    </r>
    <r>
      <rPr>
        <b val="true"/>
        <sz val="10"/>
        <rFont val="Arial"/>
        <family val="0"/>
        <charset val="1"/>
      </rPr>
      <t xml:space="preserve">)</t>
    </r>
  </si>
  <si>
    <t xml:space="preserve">구간 순서</t>
  </si>
  <si>
    <r>
      <rPr>
        <b val="true"/>
        <sz val="11"/>
        <color rgb="FFFFFFFF"/>
        <rFont val="Noto Sans CJK SC"/>
        <family val="2"/>
      </rPr>
      <t xml:space="preserve">원래 위치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탭 </t>
    </r>
    <r>
      <rPr>
        <b val="true"/>
        <sz val="11"/>
        <color rgb="FFFFFFFF"/>
        <rFont val="Arial"/>
        <family val="0"/>
        <charset val="1"/>
      </rPr>
      <t xml:space="preserve">/ </t>
    </r>
    <r>
      <rPr>
        <b val="true"/>
        <sz val="11"/>
        <color rgb="FFFFFFFF"/>
        <rFont val="Noto Sans CJK SC"/>
        <family val="2"/>
      </rPr>
      <t xml:space="preserve">구간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</si>
  <si>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종목코드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티커</t>
    </r>
  </si>
  <si>
    <t xml:space="preserve">영웅문 코드</t>
  </si>
  <si>
    <t xml:space="preserve">상태</t>
  </si>
  <si>
    <t xml:space="preserve">메모</t>
  </si>
  <si>
    <r>
      <rPr>
        <sz val="11"/>
        <rFont val="Noto Sans CJK SC"/>
        <family val="2"/>
      </rPr>
      <t xml:space="preserve">방산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방산</t>
    </r>
  </si>
  <si>
    <t xml:space="preserve">한화시스템</t>
  </si>
  <si>
    <t xml:space="preserve">272210</t>
  </si>
  <si>
    <t xml:space="preserve">유지</t>
  </si>
  <si>
    <r>
      <rPr>
        <sz val="11"/>
        <rFont val="Noto Sans CJK SC"/>
        <family val="2"/>
      </rPr>
      <t xml:space="preserve">레이더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전자전</t>
    </r>
  </si>
  <si>
    <t xml:space="preserve">현대로템</t>
  </si>
  <si>
    <t xml:space="preserve">064350</t>
  </si>
  <si>
    <r>
      <rPr>
        <sz val="11"/>
        <rFont val="Arial"/>
        <family val="0"/>
        <charset val="1"/>
      </rPr>
      <t xml:space="preserve">LIG</t>
    </r>
    <r>
      <rPr>
        <sz val="11"/>
        <rFont val="Noto Sans CJK SC"/>
        <family val="2"/>
      </rPr>
      <t xml:space="preserve">디펜스앤에어로스페이스</t>
    </r>
  </si>
  <si>
    <t xml:space="preserve">079550</t>
  </si>
  <si>
    <t xml:space="preserve">풍산</t>
  </si>
  <si>
    <t xml:space="preserve">103140</t>
  </si>
  <si>
    <r>
      <rPr>
        <sz val="11"/>
        <rFont val="Noto Sans CJK SC"/>
        <family val="2"/>
      </rPr>
      <t xml:space="preserve">탄약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구리 가공</t>
    </r>
  </si>
  <si>
    <r>
      <rPr>
        <sz val="11"/>
        <rFont val="Noto Sans CJK SC"/>
        <family val="2"/>
      </rPr>
      <t xml:space="preserve">방산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우주항공</t>
    </r>
  </si>
  <si>
    <t xml:space="preserve">012450</t>
  </si>
  <si>
    <t xml:space="preserve">구간 이동</t>
  </si>
  <si>
    <r>
      <rPr>
        <sz val="11"/>
        <rFont val="Arial"/>
        <family val="0"/>
        <charset val="1"/>
      </rPr>
      <t xml:space="preserve">K9 </t>
    </r>
    <r>
      <rPr>
        <sz val="11"/>
        <rFont val="Noto Sans CJK SC"/>
        <family val="2"/>
      </rPr>
      <t xml:space="preserve">자주포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항공엔진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록히드 짝</t>
    </r>
  </si>
  <si>
    <t xml:space="preserve">빅텍</t>
  </si>
  <si>
    <t xml:space="preserve">065450</t>
  </si>
  <si>
    <t xml:space="preserve">방산 전원장치</t>
  </si>
  <si>
    <t xml:space="preserve">437730</t>
  </si>
  <si>
    <t xml:space="preserve">로봇 탭과 중복</t>
  </si>
  <si>
    <t xml:space="preserve">한국항공우주</t>
  </si>
  <si>
    <t xml:space="preserve">047810</t>
  </si>
  <si>
    <r>
      <rPr>
        <sz val="11"/>
        <rFont val="Arial"/>
        <family val="0"/>
        <charset val="1"/>
      </rPr>
      <t xml:space="preserve">KF-21·FA-50, </t>
    </r>
    <r>
      <rPr>
        <sz val="11"/>
        <rFont val="Noto Sans CJK SC"/>
        <family val="2"/>
      </rPr>
      <t xml:space="preserve">보잉 짝</t>
    </r>
  </si>
  <si>
    <t xml:space="preserve">켄코아에어로스페이스</t>
  </si>
  <si>
    <t xml:space="preserve">274090</t>
  </si>
  <si>
    <t xml:space="preserve">항공기 부품</t>
  </si>
  <si>
    <r>
      <rPr>
        <sz val="11"/>
        <rFont val="Noto Sans CJK SC"/>
        <family val="2"/>
      </rPr>
      <t xml:space="preserve">신규 </t>
    </r>
    <r>
      <rPr>
        <sz val="11"/>
        <rFont val="Arial"/>
        <family val="0"/>
        <charset val="1"/>
      </rPr>
      <t xml:space="preserve">/ (</t>
    </r>
    <r>
      <rPr>
        <sz val="11"/>
        <rFont val="Noto Sans CJK SC"/>
        <family val="2"/>
      </rPr>
      <t xml:space="preserve">신규</t>
    </r>
    <r>
      <rPr>
        <sz val="11"/>
        <rFont val="Arial"/>
        <family val="0"/>
        <charset val="1"/>
      </rPr>
      <t xml:space="preserve">)</t>
    </r>
  </si>
  <si>
    <t xml:space="preserve">아스트</t>
  </si>
  <si>
    <t xml:space="preserve">067390</t>
  </si>
  <si>
    <t xml:space="preserve">신규</t>
  </si>
  <si>
    <r>
      <rPr>
        <sz val="11"/>
        <rFont val="Noto Sans CJK SC"/>
        <family val="2"/>
      </rPr>
      <t xml:space="preserve">항공기 동체 부품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보잉 납품</t>
    </r>
  </si>
  <si>
    <t xml:space="preserve">이녹스첨단소재</t>
  </si>
  <si>
    <t xml:space="preserve">272290</t>
  </si>
  <si>
    <r>
      <rPr>
        <sz val="11"/>
        <rFont val="Noto Sans CJK SC"/>
        <family val="2"/>
      </rPr>
      <t xml:space="preserve">확인 필요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본업과 우주 연관성</t>
    </r>
  </si>
  <si>
    <t xml:space="preserve">인텔리안테크</t>
  </si>
  <si>
    <t xml:space="preserve">189300</t>
  </si>
  <si>
    <t xml:space="preserve">스피어</t>
  </si>
  <si>
    <t xml:space="preserve">347700</t>
  </si>
  <si>
    <t xml:space="preserve">나라스페이스테크놀로지</t>
  </si>
  <si>
    <t xml:space="preserve">478340</t>
  </si>
  <si>
    <t xml:space="preserve">쎄트렉아이</t>
  </si>
  <si>
    <t xml:space="preserve">099320</t>
  </si>
  <si>
    <t xml:space="preserve">비츠로넥스텍</t>
  </si>
  <si>
    <t xml:space="preserve">488900</t>
  </si>
  <si>
    <t xml:space="preserve">에이치브이엠</t>
  </si>
  <si>
    <t xml:space="preserve">295310</t>
  </si>
  <si>
    <r>
      <rPr>
        <sz val="11"/>
        <rFont val="Arial"/>
        <family val="0"/>
        <charset val="1"/>
      </rPr>
      <t xml:space="preserve">AP</t>
    </r>
    <r>
      <rPr>
        <sz val="11"/>
        <rFont val="Noto Sans CJK SC"/>
        <family val="2"/>
      </rPr>
      <t xml:space="preserve">위성</t>
    </r>
  </si>
  <si>
    <t xml:space="preserve">211270</t>
  </si>
  <si>
    <t xml:space="preserve">나노팀</t>
  </si>
  <si>
    <t xml:space="preserve">417010</t>
  </si>
  <si>
    <t xml:space="preserve">와이제이링크</t>
  </si>
  <si>
    <t xml:space="preserve">209640</t>
  </si>
  <si>
    <t xml:space="preserve">퍼스텍</t>
  </si>
  <si>
    <t xml:space="preserve">010820</t>
  </si>
  <si>
    <r>
      <rPr>
        <sz val="11"/>
        <rFont val="Noto Sans CJK SC"/>
        <family val="2"/>
      </rPr>
      <t xml:space="preserve">유도무기 부품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드론</t>
    </r>
  </si>
  <si>
    <t xml:space="preserve">제이씨현시스템</t>
  </si>
  <si>
    <t xml:space="preserve">033320</t>
  </si>
  <si>
    <t xml:space="preserve">드론 유통</t>
  </si>
  <si>
    <r>
      <rPr>
        <sz val="11"/>
        <rFont val="Noto Sans CJK SC"/>
        <family val="2"/>
      </rPr>
      <t xml:space="preserve">방산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조선</t>
    </r>
  </si>
  <si>
    <t xml:space="preserve">한화오션</t>
  </si>
  <si>
    <t xml:space="preserve">042660</t>
  </si>
  <si>
    <t xml:space="preserve">대한조선</t>
  </si>
  <si>
    <t xml:space="preserve">439260</t>
  </si>
  <si>
    <r>
      <rPr>
        <sz val="11"/>
        <rFont val="Arial"/>
        <family val="0"/>
        <charset val="1"/>
      </rPr>
      <t xml:space="preserve">HD</t>
    </r>
    <r>
      <rPr>
        <sz val="11"/>
        <rFont val="Noto Sans CJK SC"/>
        <family val="2"/>
      </rPr>
      <t xml:space="preserve">현대중공업</t>
    </r>
  </si>
  <si>
    <t xml:space="preserve">329180</t>
  </si>
  <si>
    <r>
      <rPr>
        <sz val="11"/>
        <rFont val="Arial"/>
        <family val="0"/>
        <charset val="1"/>
      </rPr>
      <t xml:space="preserve">HD</t>
    </r>
    <r>
      <rPr>
        <sz val="11"/>
        <rFont val="Noto Sans CJK SC"/>
        <family val="2"/>
      </rPr>
      <t xml:space="preserve">한국조선해양</t>
    </r>
  </si>
  <si>
    <t xml:space="preserve">009540</t>
  </si>
  <si>
    <t xml:space="preserve">삼성중공업</t>
  </si>
  <si>
    <t xml:space="preserve">010140</t>
  </si>
  <si>
    <r>
      <rPr>
        <sz val="11"/>
        <rFont val="Noto Sans CJK SC"/>
        <family val="2"/>
      </rPr>
      <t xml:space="preserve">방산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조선기자재</t>
    </r>
  </si>
  <si>
    <r>
      <rPr>
        <sz val="11"/>
        <rFont val="Arial"/>
        <family val="0"/>
        <charset val="1"/>
      </rPr>
      <t xml:space="preserve">SK</t>
    </r>
    <r>
      <rPr>
        <sz val="11"/>
        <rFont val="Noto Sans CJK SC"/>
        <family val="2"/>
      </rPr>
      <t xml:space="preserve">오션플랜트</t>
    </r>
  </si>
  <si>
    <t xml:space="preserve">100090</t>
  </si>
  <si>
    <t xml:space="preserve">한화엔진</t>
  </si>
  <si>
    <t xml:space="preserve">082740</t>
  </si>
  <si>
    <t xml:space="preserve">케이프</t>
  </si>
  <si>
    <t xml:space="preserve">064820</t>
  </si>
  <si>
    <t xml:space="preserve">세진중공업</t>
  </si>
  <si>
    <t xml:space="preserve">075580</t>
  </si>
  <si>
    <t xml:space="preserve">현대힘스</t>
  </si>
  <si>
    <t xml:space="preserve">460930</t>
  </si>
  <si>
    <t xml:space="preserve">오리엔탈정공</t>
  </si>
  <si>
    <t xml:space="preserve">014940</t>
  </si>
  <si>
    <r>
      <rPr>
        <sz val="11"/>
        <rFont val="Arial"/>
        <family val="0"/>
        <charset val="1"/>
      </rPr>
      <t xml:space="preserve">HD</t>
    </r>
    <r>
      <rPr>
        <sz val="11"/>
        <rFont val="Noto Sans CJK SC"/>
        <family val="2"/>
      </rPr>
      <t xml:space="preserve">현대마린엔진</t>
    </r>
  </si>
  <si>
    <t xml:space="preserve">071970</t>
  </si>
  <si>
    <t xml:space="preserve">에스엔시스</t>
  </si>
  <si>
    <t xml:space="preserve">0008Z0</t>
  </si>
  <si>
    <t xml:space="preserve">성광벤드</t>
  </si>
  <si>
    <t xml:space="preserve">014620</t>
  </si>
  <si>
    <r>
      <rPr>
        <sz val="11"/>
        <rFont val="Arial"/>
        <family val="0"/>
        <charset val="1"/>
      </rPr>
      <t xml:space="preserve">HD</t>
    </r>
    <r>
      <rPr>
        <sz val="11"/>
        <rFont val="Noto Sans CJK SC"/>
        <family val="2"/>
      </rPr>
      <t xml:space="preserve">현대마린솔루션</t>
    </r>
  </si>
  <si>
    <t xml:space="preserve">443060</t>
  </si>
  <si>
    <t xml:space="preserve">태웅</t>
  </si>
  <si>
    <t xml:space="preserve">044490</t>
  </si>
  <si>
    <t xml:space="preserve">한국카본</t>
  </si>
  <si>
    <t xml:space="preserve">017960</t>
  </si>
  <si>
    <t xml:space="preserve">티엠씨</t>
  </si>
  <si>
    <t xml:space="preserve">217590</t>
  </si>
  <si>
    <r>
      <rPr>
        <sz val="11"/>
        <rFont val="Noto Sans CJK SC"/>
        <family val="2"/>
      </rPr>
      <t xml:space="preserve">한라</t>
    </r>
    <r>
      <rPr>
        <sz val="11"/>
        <rFont val="Arial"/>
        <family val="0"/>
        <charset val="1"/>
      </rPr>
      <t xml:space="preserve">IMS</t>
    </r>
  </si>
  <si>
    <t xml:space="preserve">092460</t>
  </si>
  <si>
    <t xml:space="preserve">동성화인텍</t>
  </si>
  <si>
    <t xml:space="preserve">033500</t>
  </si>
  <si>
    <t xml:space="preserve">태광</t>
  </si>
  <si>
    <t xml:space="preserve">023160</t>
  </si>
  <si>
    <t xml:space="preserve">011200</t>
  </si>
  <si>
    <t xml:space="preserve">추가</t>
  </si>
  <si>
    <r>
      <rPr>
        <sz val="11"/>
        <rFont val="Noto Sans CJK SC"/>
        <family val="2"/>
      </rPr>
      <t xml:space="preserve">주요테마 탭에서 이동</t>
    </r>
    <r>
      <rPr>
        <sz val="11"/>
        <rFont val="Arial"/>
        <family val="0"/>
        <charset val="1"/>
      </rPr>
      <t xml:space="preserve">, ZIM </t>
    </r>
    <r>
      <rPr>
        <sz val="11"/>
        <rFont val="Noto Sans CJK SC"/>
        <family val="2"/>
      </rPr>
      <t xml:space="preserve">짝</t>
    </r>
  </si>
  <si>
    <t xml:space="preserve">005880</t>
  </si>
  <si>
    <t xml:space="preserve">주요테마 탭에서 이동</t>
  </si>
  <si>
    <t xml:space="preserve">028670</t>
  </si>
  <si>
    <t xml:space="preserve">465770</t>
  </si>
  <si>
    <t xml:space="preserve">003280</t>
  </si>
  <si>
    <t xml:space="preserve">044450</t>
  </si>
  <si>
    <t xml:space="preserve">LMT</t>
  </si>
  <si>
    <t xml:space="preserve">NYLMT</t>
  </si>
  <si>
    <t xml:space="preserve">정책 수혜주 탭에서 이동</t>
  </si>
  <si>
    <t xml:space="preserve">AXON</t>
  </si>
  <si>
    <t xml:space="preserve">NDAXON</t>
  </si>
  <si>
    <r>
      <rPr>
        <sz val="11"/>
        <rFont val="Noto Sans CJK SC"/>
        <family val="2"/>
      </rPr>
      <t xml:space="preserve">정책 수혜주 탭에서 이동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확인 필요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치안 장비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테이저</t>
    </r>
    <r>
      <rPr>
        <sz val="11"/>
        <rFont val="Arial"/>
        <family val="0"/>
        <charset val="1"/>
      </rPr>
      <t xml:space="preserve">), ITA </t>
    </r>
    <r>
      <rPr>
        <sz val="11"/>
        <rFont val="Noto Sans CJK SC"/>
        <family val="2"/>
      </rPr>
      <t xml:space="preserve">편입</t>
    </r>
  </si>
  <si>
    <t xml:space="preserve">GD</t>
  </si>
  <si>
    <t xml:space="preserve">NYGD</t>
  </si>
  <si>
    <r>
      <rPr>
        <sz val="11"/>
        <rFont val="Noto Sans CJK SC"/>
        <family val="2"/>
      </rPr>
      <t xml:space="preserve">정책 수혜주 탭에서 이동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잠수함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전차</t>
    </r>
  </si>
  <si>
    <t xml:space="preserve">NOC</t>
  </si>
  <si>
    <t xml:space="preserve">NYNOC</t>
  </si>
  <si>
    <t xml:space="preserve">LHX</t>
  </si>
  <si>
    <t xml:space="preserve">NYLHX</t>
  </si>
  <si>
    <r>
      <rPr>
        <sz val="11"/>
        <rFont val="Noto Sans CJK SC"/>
        <family val="2"/>
      </rPr>
      <t xml:space="preserve">정책 수혜주 탭에서 이동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방산 전자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한화시스템 짝</t>
    </r>
  </si>
  <si>
    <t xml:space="preserve">HWM</t>
  </si>
  <si>
    <t xml:space="preserve">NYHWM</t>
  </si>
  <si>
    <r>
      <rPr>
        <sz val="11"/>
        <rFont val="Noto Sans CJK SC"/>
        <family val="2"/>
      </rPr>
      <t xml:space="preserve">정책 수혜주 탭에서 이동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항공 부품</t>
    </r>
  </si>
  <si>
    <t xml:space="preserve">GE</t>
  </si>
  <si>
    <t xml:space="preserve">NYGE</t>
  </si>
  <si>
    <r>
      <rPr>
        <sz val="11"/>
        <rFont val="Noto Sans CJK SC"/>
        <family val="2"/>
      </rPr>
      <t xml:space="preserve">정책 수혜주 탭에서 이동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항공엔진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한화에어로 짝</t>
    </r>
  </si>
  <si>
    <t xml:space="preserve">BA</t>
  </si>
  <si>
    <t xml:space="preserve">NYBA</t>
  </si>
  <si>
    <t xml:space="preserve">TDG</t>
  </si>
  <si>
    <t xml:space="preserve">NYTDG</t>
  </si>
  <si>
    <t xml:space="preserve">RKLB</t>
  </si>
  <si>
    <t xml:space="preserve">NDRKLB</t>
  </si>
  <si>
    <r>
      <rPr>
        <sz val="11"/>
        <rFont val="Arial"/>
        <family val="0"/>
        <charset val="1"/>
      </rPr>
      <t xml:space="preserve">new </t>
    </r>
    <r>
      <rPr>
        <sz val="11"/>
        <rFont val="Noto Sans CJK SC"/>
        <family val="2"/>
      </rPr>
      <t xml:space="preserve">탭에서 이동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발사체</t>
    </r>
  </si>
  <si>
    <t xml:space="preserve">ASTS</t>
  </si>
  <si>
    <t xml:space="preserve">NDASTS</t>
  </si>
  <si>
    <r>
      <rPr>
        <sz val="11"/>
        <rFont val="Arial"/>
        <family val="0"/>
        <charset val="1"/>
      </rPr>
      <t xml:space="preserve">new </t>
    </r>
    <r>
      <rPr>
        <sz val="11"/>
        <rFont val="Noto Sans CJK SC"/>
        <family val="2"/>
      </rPr>
      <t xml:space="preserve">탭에서 이동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위성통신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인텔리안테크 짝</t>
    </r>
  </si>
  <si>
    <t xml:space="preserve">LUNR</t>
  </si>
  <si>
    <t xml:space="preserve">NDLUNR</t>
  </si>
  <si>
    <r>
      <rPr>
        <sz val="11"/>
        <rFont val="Arial"/>
        <family val="0"/>
        <charset val="1"/>
      </rPr>
      <t xml:space="preserve">new </t>
    </r>
    <r>
      <rPr>
        <sz val="11"/>
        <rFont val="Noto Sans CJK SC"/>
        <family val="2"/>
      </rPr>
      <t xml:space="preserve">탭에서 이동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달 탐사</t>
    </r>
  </si>
  <si>
    <t xml:space="preserve">SPCX</t>
  </si>
  <si>
    <t xml:space="preserve">NDSPCX</t>
  </si>
  <si>
    <r>
      <rPr>
        <sz val="11"/>
        <rFont val="Arial"/>
        <family val="0"/>
        <charset val="1"/>
      </rPr>
      <t xml:space="preserve">new </t>
    </r>
    <r>
      <rPr>
        <sz val="11"/>
        <rFont val="Noto Sans CJK SC"/>
        <family val="2"/>
      </rPr>
      <t xml:space="preserve">탭에서 이동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발사체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스타링크</t>
    </r>
  </si>
  <si>
    <t xml:space="preserve">AVAV</t>
  </si>
  <si>
    <t xml:space="preserve">NDAVAV</t>
  </si>
  <si>
    <r>
      <rPr>
        <sz val="11"/>
        <rFont val="Noto Sans CJK SC"/>
        <family val="2"/>
      </rPr>
      <t xml:space="preserve">정책 수혜주 탭에서 이동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군용 드론</t>
    </r>
  </si>
  <si>
    <t xml:space="preserve">ONDS</t>
  </si>
  <si>
    <t xml:space="preserve">NDONDS</t>
  </si>
  <si>
    <r>
      <rPr>
        <sz val="11"/>
        <rFont val="Arial"/>
        <family val="0"/>
        <charset val="1"/>
      </rPr>
      <t xml:space="preserve">new </t>
    </r>
    <r>
      <rPr>
        <sz val="11"/>
        <rFont val="Noto Sans CJK SC"/>
        <family val="2"/>
      </rPr>
      <t xml:space="preserve">탭에서 이동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드론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대드론</t>
    </r>
  </si>
  <si>
    <t xml:space="preserve">RCAT</t>
  </si>
  <si>
    <t xml:space="preserve">NDRCAT</t>
  </si>
  <si>
    <r>
      <rPr>
        <sz val="11"/>
        <rFont val="Arial"/>
        <family val="0"/>
        <charset val="1"/>
      </rPr>
      <t xml:space="preserve">new </t>
    </r>
    <r>
      <rPr>
        <sz val="11"/>
        <rFont val="Noto Sans CJK SC"/>
        <family val="2"/>
      </rPr>
      <t xml:space="preserve">탭에서 이동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군용 소형드론</t>
    </r>
  </si>
  <si>
    <t xml:space="preserve">크라토스 디펜스</t>
  </si>
  <si>
    <t xml:space="preserve">KTOS</t>
  </si>
  <si>
    <t xml:space="preserve">NDKTOS</t>
  </si>
  <si>
    <r>
      <rPr>
        <sz val="11"/>
        <rFont val="Noto Sans CJK SC"/>
        <family val="2"/>
      </rPr>
      <t xml:space="preserve">무인 전투기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표적 드론</t>
    </r>
  </si>
  <si>
    <t xml:space="preserve">HII</t>
  </si>
  <si>
    <t xml:space="preserve">NYHII</t>
  </si>
  <si>
    <r>
      <rPr>
        <sz val="11"/>
        <rFont val="Noto Sans CJK SC"/>
        <family val="2"/>
      </rPr>
      <t xml:space="preserve">미국 최대 군함 조선사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한화오션 짝</t>
    </r>
  </si>
  <si>
    <t xml:space="preserve">RBNE</t>
  </si>
  <si>
    <t xml:space="preserve">NDRBNE</t>
  </si>
  <si>
    <r>
      <rPr>
        <sz val="11"/>
        <rFont val="Noto Sans CJK SC"/>
        <family val="2"/>
      </rPr>
      <t xml:space="preserve">정책 수혜주 탭에서 이동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탱커</t>
    </r>
  </si>
  <si>
    <r>
      <rPr>
        <sz val="11"/>
        <rFont val="Arial"/>
        <family val="0"/>
        <charset val="1"/>
      </rPr>
      <t xml:space="preserve">ZIM </t>
    </r>
    <r>
      <rPr>
        <sz val="11"/>
        <rFont val="Noto Sans CJK SC"/>
        <family val="2"/>
      </rPr>
      <t xml:space="preserve">인티그레이티드 시핑</t>
    </r>
  </si>
  <si>
    <t xml:space="preserve">ZIM</t>
  </si>
  <si>
    <t xml:space="preserve">NYZIM</t>
  </si>
  <si>
    <r>
      <rPr>
        <sz val="11"/>
        <rFont val="Noto Sans CJK SC"/>
        <family val="2"/>
      </rPr>
      <t xml:space="preserve">컨테이너선</t>
    </r>
    <r>
      <rPr>
        <sz val="11"/>
        <rFont val="Arial"/>
        <family val="0"/>
        <charset val="1"/>
      </rPr>
      <t xml:space="preserve">, HMM </t>
    </r>
    <r>
      <rPr>
        <sz val="11"/>
        <rFont val="Noto Sans CJK SC"/>
        <family val="2"/>
      </rPr>
      <t xml:space="preserve">짝</t>
    </r>
  </si>
  <si>
    <t xml:space="preserve">07011</t>
  </si>
  <si>
    <t xml:space="preserve">W07011</t>
  </si>
  <si>
    <r>
      <rPr>
        <sz val="11"/>
        <rFont val="Noto Sans CJK SC"/>
        <family val="2"/>
      </rPr>
      <t xml:space="preserve">섹터별 탭에서 이동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에너지 탭 원전과 중복</t>
    </r>
  </si>
  <si>
    <t xml:space="preserve">가와사키중공업</t>
  </si>
  <si>
    <t xml:space="preserve">07012</t>
  </si>
  <si>
    <t xml:space="preserve">W07012</t>
  </si>
  <si>
    <r>
      <rPr>
        <sz val="11"/>
        <rFont val="Noto Sans CJK SC"/>
        <family val="2"/>
      </rPr>
      <t xml:space="preserve">잠수함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항공기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조선</t>
    </r>
  </si>
  <si>
    <t xml:space="preserve">06503</t>
  </si>
  <si>
    <t xml:space="preserve">W06503</t>
  </si>
  <si>
    <r>
      <rPr>
        <sz val="11"/>
        <rFont val="Noto Sans CJK SC"/>
        <family val="2"/>
      </rPr>
      <t xml:space="preserve">섹터별 탭에서 이동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에너지 탭과 중복</t>
    </r>
  </si>
  <si>
    <t xml:space="preserve">06971</t>
  </si>
  <si>
    <t xml:space="preserve">W06971</t>
  </si>
  <si>
    <t xml:space="preserve">섹터별 탭에서 이동</t>
  </si>
  <si>
    <t xml:space="preserve">06965</t>
  </si>
  <si>
    <t xml:space="preserve">W06965</t>
  </si>
  <si>
    <t xml:space="preserve">06981</t>
  </si>
  <si>
    <t xml:space="preserve">W06981</t>
  </si>
  <si>
    <r>
      <rPr>
        <sz val="11"/>
        <rFont val="Noto Sans CJK SC"/>
        <family val="2"/>
      </rPr>
      <t xml:space="preserve">섹터별 탭에서 이동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반도체 탭과 중복</t>
    </r>
  </si>
  <si>
    <t xml:space="preserve">06762</t>
  </si>
  <si>
    <t xml:space="preserve">W06762</t>
  </si>
  <si>
    <t xml:space="preserve">05802</t>
  </si>
  <si>
    <t xml:space="preserve">W05802</t>
  </si>
  <si>
    <t xml:space="preserve">07013</t>
  </si>
  <si>
    <t xml:space="preserve">W07013</t>
  </si>
  <si>
    <r>
      <rPr>
        <sz val="11"/>
        <rFont val="Noto Sans CJK SC"/>
        <family val="2"/>
      </rPr>
      <t xml:space="preserve">제트엔진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한화에어로 짝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에너지 탭과 중복</t>
    </r>
  </si>
  <si>
    <t xml:space="preserve">ispace</t>
  </si>
  <si>
    <t xml:space="preserve">09348</t>
  </si>
  <si>
    <t xml:space="preserve">W09348</t>
  </si>
  <si>
    <r>
      <rPr>
        <sz val="11"/>
        <rFont val="Noto Sans CJK SC"/>
        <family val="2"/>
      </rPr>
      <t xml:space="preserve">달 탐사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인튜이티브 머신스 짝</t>
    </r>
  </si>
  <si>
    <r>
      <rPr>
        <sz val="11"/>
        <rFont val="Arial"/>
        <family val="0"/>
        <charset val="1"/>
      </rPr>
      <t xml:space="preserve">QPS</t>
    </r>
    <r>
      <rPr>
        <sz val="11"/>
        <rFont val="Noto Sans CJK SC"/>
        <family val="2"/>
      </rPr>
      <t xml:space="preserve">연구소</t>
    </r>
  </si>
  <si>
    <t xml:space="preserve">05595</t>
  </si>
  <si>
    <t xml:space="preserve">W05595</t>
  </si>
  <si>
    <t xml:space="preserve">소형 레이더 위성</t>
  </si>
  <si>
    <t xml:space="preserve">아스트로스케일</t>
  </si>
  <si>
    <t xml:space="preserve">0186A</t>
  </si>
  <si>
    <t xml:space="preserve">W0186A</t>
  </si>
  <si>
    <t xml:space="preserve">우주 쓰레기 제거</t>
  </si>
  <si>
    <t xml:space="preserve">테라드론</t>
  </si>
  <si>
    <t xml:space="preserve">0278A</t>
  </si>
  <si>
    <t xml:space="preserve">W0278A</t>
  </si>
  <si>
    <t xml:space="preserve">산업용 드론</t>
  </si>
  <si>
    <t xml:space="preserve">ACSL</t>
  </si>
  <si>
    <t xml:space="preserve">06232</t>
  </si>
  <si>
    <t xml:space="preserve">W06232</t>
  </si>
  <si>
    <t xml:space="preserve">국산 드론</t>
  </si>
  <si>
    <t xml:space="preserve">07014</t>
  </si>
  <si>
    <t xml:space="preserve">W07014</t>
  </si>
  <si>
    <t xml:space="preserve">벌크선 조선</t>
  </si>
  <si>
    <t xml:space="preserve">07003</t>
  </si>
  <si>
    <t xml:space="preserve">W07003</t>
  </si>
  <si>
    <r>
      <rPr>
        <sz val="11"/>
        <rFont val="Noto Sans CJK SC"/>
        <family val="2"/>
      </rPr>
      <t xml:space="preserve">선박엔진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한화엔진 짝</t>
    </r>
  </si>
  <si>
    <t xml:space="preserve">09107</t>
  </si>
  <si>
    <t xml:space="preserve">W09107</t>
  </si>
  <si>
    <t xml:space="preserve">09104</t>
  </si>
  <si>
    <t xml:space="preserve">W09104</t>
  </si>
  <si>
    <t xml:space="preserve">니혼유센</t>
  </si>
  <si>
    <t xml:space="preserve">09101</t>
  </si>
  <si>
    <t xml:space="preserve">W09101</t>
  </si>
  <si>
    <t xml:space="preserve">일본 최대 해운사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</si>
</sst>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@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i val="true"/>
      <sz val="9"/>
      <color rgb="FF666666"/>
      <name val="Noto Sans CJK SC"/>
      <family val="2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Noto Sans CJK SC"/>
      <family val="2"/>
    </font>
    <font>
      <sz val="11"/>
      <name val="Arial"/>
      <family val="0"/>
      <charset val="1"/>
    </font>
    <font>
      <sz val="11"/>
      <name val="Noto Sans CJK SC"/>
      <family val="2"/>
    </font>
    <font>
      <b val="true"/>
      <sz val="11"/>
      <name val="Noto Sans CJK SC"/>
      <family val="2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7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A5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  <dxf>
      <fill>
        <patternFill>
          <bgColor rgb="FFDDEBF7"/>
        </patternFill>
      </fill>
    </dxf>
    <dxf>
      <fill>
        <patternFill>
          <bgColor rgb="FFEDEDE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0D7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5" min="3" style="0" width="7"/>
    <col collapsed="false" customWidth="true" hidden="false" outlineLevel="0" max="6" min="6" style="0" width="56"/>
    <col collapsed="false" customWidth="true" hidden="false" outlineLevel="0" max="7" min="7" style="0" width="46"/>
    <col collapsed="false" customWidth="true" hidden="false" outlineLevel="0" max="8" min="8" style="0" width="40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32.8" hidden="false" customHeight="false" outlineLevel="0" collapsed="false">
      <c r="A5" s="4" t="n">
        <v>1</v>
      </c>
      <c r="B5" s="5" t="s">
        <v>10</v>
      </c>
      <c r="C5" s="4" t="n">
        <f aca="false">COUNTIFS('종목 목록'!$A$2:$A$89,"국장",'종목 목록'!$C$2:$C$89,$B5,'종목 목록'!$H$2:$H$89,"&lt;&gt;탭 밖 이동")</f>
        <v>5</v>
      </c>
      <c r="D5" s="4" t="n">
        <f aca="false">COUNTIFS('종목 목록'!$A$2:$A$89,"미장",'종목 목록'!$C$2:$C$89,$B5,'종목 목록'!$H$2:$H$89,"&lt;&gt;탭 밖 이동")</f>
        <v>5</v>
      </c>
      <c r="E5" s="4" t="n">
        <f aca="false">COUNTIFS('종목 목록'!$A$2:$A$89,"일장",'종목 목록'!$C$2:$C$89,$B5,'종목 목록'!$H$2:$H$89,"&lt;&gt;탭 밖 이동")</f>
        <v>2</v>
      </c>
      <c r="F5" s="6" t="s">
        <v>11</v>
      </c>
      <c r="G5" s="6" t="s">
        <v>12</v>
      </c>
      <c r="H5" s="6" t="s">
        <v>13</v>
      </c>
    </row>
    <row r="6" customFormat="false" ht="32.8" hidden="false" customHeight="false" outlineLevel="0" collapsed="false">
      <c r="A6" s="4" t="n">
        <v>2</v>
      </c>
      <c r="B6" s="5" t="s">
        <v>14</v>
      </c>
      <c r="C6" s="4" t="n">
        <f aca="false">COUNTIFS('종목 목록'!$A$2:$A$89,"국장",'종목 목록'!$C$2:$C$89,$B6,'종목 목록'!$H$2:$H$89,"&lt;&gt;탭 밖 이동")</f>
        <v>2</v>
      </c>
      <c r="D6" s="4" t="n">
        <f aca="false">COUNTIFS('종목 목록'!$A$2:$A$89,"미장",'종목 목록'!$C$2:$C$89,$B6,'종목 목록'!$H$2:$H$89,"&lt;&gt;탭 밖 이동")</f>
        <v>0</v>
      </c>
      <c r="E6" s="4" t="n">
        <f aca="false">COUNTIFS('종목 목록'!$A$2:$A$89,"일장",'종목 목록'!$C$2:$C$89,$B6,'종목 목록'!$H$2:$H$89,"&lt;&gt;탭 밖 이동")</f>
        <v>6</v>
      </c>
      <c r="F6" s="6" t="s">
        <v>15</v>
      </c>
      <c r="G6" s="7" t="s">
        <v>16</v>
      </c>
      <c r="H6" s="6" t="s">
        <v>17</v>
      </c>
    </row>
    <row r="7" customFormat="false" ht="32.8" hidden="false" customHeight="false" outlineLevel="0" collapsed="false">
      <c r="A7" s="4" t="n">
        <v>3</v>
      </c>
      <c r="B7" s="5" t="s">
        <v>18</v>
      </c>
      <c r="C7" s="4" t="n">
        <f aca="false">COUNTIFS('종목 목록'!$A$2:$A$89,"국장",'종목 목록'!$C$2:$C$89,$B7,'종목 목록'!$H$2:$H$89,"&lt;&gt;탭 밖 이동")</f>
        <v>3</v>
      </c>
      <c r="D7" s="4" t="n">
        <f aca="false">COUNTIFS('종목 목록'!$A$2:$A$89,"미장",'종목 목록'!$C$2:$C$89,$B7,'종목 목록'!$H$2:$H$89,"&lt;&gt;탭 밖 이동")</f>
        <v>4</v>
      </c>
      <c r="E7" s="4" t="n">
        <f aca="false">COUNTIFS('종목 목록'!$A$2:$A$89,"일장",'종목 목록'!$C$2:$C$89,$B7,'종목 목록'!$H$2:$H$89,"&lt;&gt;탭 밖 이동")</f>
        <v>1</v>
      </c>
      <c r="F7" s="6" t="s">
        <v>19</v>
      </c>
      <c r="G7" s="6" t="s">
        <v>20</v>
      </c>
      <c r="H7" s="7" t="s">
        <v>21</v>
      </c>
    </row>
    <row r="8" customFormat="false" ht="48.5" hidden="false" customHeight="false" outlineLevel="0" collapsed="false">
      <c r="A8" s="4" t="n">
        <v>4</v>
      </c>
      <c r="B8" s="5" t="s">
        <v>22</v>
      </c>
      <c r="C8" s="4" t="n">
        <f aca="false">COUNTIFS('종목 목록'!$A$2:$A$89,"국장",'종목 목록'!$C$2:$C$89,$B8,'종목 목록'!$H$2:$H$89,"&lt;&gt;탭 밖 이동")</f>
        <v>10</v>
      </c>
      <c r="D8" s="4" t="n">
        <f aca="false">COUNTIFS('종목 목록'!$A$2:$A$89,"미장",'종목 목록'!$C$2:$C$89,$B8,'종목 목록'!$H$2:$H$89,"&lt;&gt;탭 밖 이동")</f>
        <v>4</v>
      </c>
      <c r="E8" s="4" t="n">
        <f aca="false">COUNTIFS('종목 목록'!$A$2:$A$89,"일장",'종목 목록'!$C$2:$C$89,$B8,'종목 목록'!$H$2:$H$89,"&lt;&gt;탭 밖 이동")</f>
        <v>3</v>
      </c>
      <c r="F8" s="6" t="s">
        <v>23</v>
      </c>
      <c r="G8" s="6" t="s">
        <v>24</v>
      </c>
      <c r="H8" s="7" t="s">
        <v>25</v>
      </c>
    </row>
    <row r="9" customFormat="false" ht="32.8" hidden="false" customHeight="false" outlineLevel="0" collapsed="false">
      <c r="A9" s="4" t="n">
        <v>5</v>
      </c>
      <c r="B9" s="5" t="s">
        <v>26</v>
      </c>
      <c r="C9" s="4" t="n">
        <f aca="false">COUNTIFS('종목 목록'!$A$2:$A$89,"국장",'종목 목록'!$C$2:$C$89,$B9,'종목 목록'!$H$2:$H$89,"&lt;&gt;탭 밖 이동")</f>
        <v>2</v>
      </c>
      <c r="D9" s="4" t="n">
        <f aca="false">COUNTIFS('종목 목록'!$A$2:$A$89,"미장",'종목 목록'!$C$2:$C$89,$B9,'종목 목록'!$H$2:$H$89,"&lt;&gt;탭 밖 이동")</f>
        <v>4</v>
      </c>
      <c r="E9" s="4" t="n">
        <f aca="false">COUNTIFS('종목 목록'!$A$2:$A$89,"일장",'종목 목록'!$C$2:$C$89,$B9,'종목 목록'!$H$2:$H$89,"&lt;&gt;탭 밖 이동")</f>
        <v>2</v>
      </c>
      <c r="F9" s="6" t="s">
        <v>27</v>
      </c>
      <c r="G9" s="6" t="s">
        <v>28</v>
      </c>
      <c r="H9" s="6" t="s">
        <v>29</v>
      </c>
    </row>
    <row r="10" customFormat="false" ht="32.8" hidden="false" customHeight="false" outlineLevel="0" collapsed="false">
      <c r="A10" s="4" t="n">
        <v>6</v>
      </c>
      <c r="B10" s="5" t="s">
        <v>30</v>
      </c>
      <c r="C10" s="4" t="n">
        <f aca="false">COUNTIFS('종목 목록'!$A$2:$A$89,"국장",'종목 목록'!$C$2:$C$89,$B10,'종목 목록'!$H$2:$H$89,"&lt;&gt;탭 밖 이동")</f>
        <v>5</v>
      </c>
      <c r="D10" s="4" t="n">
        <f aca="false">COUNTIFS('종목 목록'!$A$2:$A$89,"미장",'종목 목록'!$C$2:$C$89,$B10,'종목 목록'!$H$2:$H$89,"&lt;&gt;탭 밖 이동")</f>
        <v>1</v>
      </c>
      <c r="E10" s="4" t="n">
        <f aca="false">COUNTIFS('종목 목록'!$A$2:$A$89,"일장",'종목 목록'!$C$2:$C$89,$B10,'종목 목록'!$H$2:$H$89,"&lt;&gt;탭 밖 이동")</f>
        <v>1</v>
      </c>
      <c r="F10" s="6" t="s">
        <v>31</v>
      </c>
      <c r="G10" s="6" t="s">
        <v>32</v>
      </c>
      <c r="H10" s="6" t="s">
        <v>33</v>
      </c>
    </row>
    <row r="11" customFormat="false" ht="64.15" hidden="false" customHeight="false" outlineLevel="0" collapsed="false">
      <c r="A11" s="4" t="n">
        <v>7</v>
      </c>
      <c r="B11" s="5" t="s">
        <v>34</v>
      </c>
      <c r="C11" s="4" t="n">
        <f aca="false">COUNTIFS('종목 목록'!$A$2:$A$89,"국장",'종목 목록'!$C$2:$C$89,$B11,'종목 목록'!$H$2:$H$89,"&lt;&gt;탭 밖 이동")</f>
        <v>16</v>
      </c>
      <c r="D11" s="4" t="n">
        <f aca="false">COUNTIFS('종목 목록'!$A$2:$A$89,"미장",'종목 목록'!$C$2:$C$89,$B11,'종목 목록'!$H$2:$H$89,"&lt;&gt;탭 밖 이동")</f>
        <v>0</v>
      </c>
      <c r="E11" s="4" t="n">
        <f aca="false">COUNTIFS('종목 목록'!$A$2:$A$89,"일장",'종목 목록'!$C$2:$C$89,$B11,'종목 목록'!$H$2:$H$89,"&lt;&gt;탭 밖 이동")</f>
        <v>1</v>
      </c>
      <c r="F11" s="7" t="s">
        <v>35</v>
      </c>
      <c r="G11" s="7" t="s">
        <v>16</v>
      </c>
      <c r="H11" s="6" t="s">
        <v>36</v>
      </c>
    </row>
    <row r="12" customFormat="false" ht="17.15" hidden="false" customHeight="false" outlineLevel="0" collapsed="false">
      <c r="A12" s="4" t="n">
        <v>8</v>
      </c>
      <c r="B12" s="5" t="s">
        <v>37</v>
      </c>
      <c r="C12" s="4" t="n">
        <f aca="false">COUNTIFS('종목 목록'!$A$2:$A$89,"국장",'종목 목록'!$C$2:$C$89,$B12,'종목 목록'!$H$2:$H$89,"&lt;&gt;탭 밖 이동")</f>
        <v>6</v>
      </c>
      <c r="D12" s="4" t="n">
        <f aca="false">COUNTIFS('종목 목록'!$A$2:$A$89,"미장",'종목 목록'!$C$2:$C$89,$B12,'종목 목록'!$H$2:$H$89,"&lt;&gt;탭 밖 이동")</f>
        <v>2</v>
      </c>
      <c r="E12" s="4" t="n">
        <f aca="false">COUNTIFS('종목 목록'!$A$2:$A$89,"일장",'종목 목록'!$C$2:$C$89,$B12,'종목 목록'!$H$2:$H$89,"&lt;&gt;탭 밖 이동")</f>
        <v>3</v>
      </c>
      <c r="F12" s="7" t="s">
        <v>38</v>
      </c>
      <c r="G12" s="6" t="s">
        <v>39</v>
      </c>
      <c r="H12" s="6" t="s">
        <v>40</v>
      </c>
    </row>
    <row r="13" customFormat="false" ht="15" hidden="false" customHeight="false" outlineLevel="0" collapsed="false">
      <c r="B13" s="8" t="s">
        <v>41</v>
      </c>
      <c r="C13" s="9" t="n">
        <f aca="false">SUM(C5:C12)</f>
        <v>49</v>
      </c>
      <c r="D13" s="9" t="n">
        <f aca="false">SUM(D5:D12)</f>
        <v>20</v>
      </c>
      <c r="E13" s="9" t="n">
        <f aca="false">SUM(E5:E12)</f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8"/>
    <col collapsed="false" customWidth="true" hidden="false" outlineLevel="0" max="3" min="3" style="0" width="26"/>
    <col collapsed="false" customWidth="true" hidden="false" outlineLevel="0" max="4" min="4" style="0" width="40"/>
  </cols>
  <sheetData>
    <row r="1" customFormat="false" ht="17.35" hidden="false" customHeight="false" outlineLevel="0" collapsed="false">
      <c r="A1" s="10" t="s">
        <v>42</v>
      </c>
    </row>
    <row r="3" customFormat="false" ht="15" hidden="false" customHeight="false" outlineLevel="0" collapsed="false">
      <c r="A3" s="11" t="s">
        <v>43</v>
      </c>
      <c r="B3" s="11" t="s">
        <v>44</v>
      </c>
      <c r="C3" s="11" t="s">
        <v>45</v>
      </c>
      <c r="D3" s="11" t="s">
        <v>46</v>
      </c>
    </row>
    <row r="4" customFormat="false" ht="17.15" hidden="false" customHeight="false" outlineLevel="0" collapsed="false">
      <c r="A4" s="12" t="s">
        <v>4</v>
      </c>
      <c r="B4" s="12" t="s">
        <v>47</v>
      </c>
      <c r="C4" s="13" t="s">
        <v>48</v>
      </c>
      <c r="D4" s="13" t="s">
        <v>49</v>
      </c>
    </row>
    <row r="5" customFormat="false" ht="17.15" hidden="false" customHeight="false" outlineLevel="0" collapsed="false">
      <c r="A5" s="12" t="s">
        <v>4</v>
      </c>
      <c r="B5" s="12" t="s">
        <v>47</v>
      </c>
      <c r="C5" s="12" t="s">
        <v>50</v>
      </c>
      <c r="D5" s="13" t="s">
        <v>49</v>
      </c>
    </row>
    <row r="6" customFormat="false" ht="17.15" hidden="false" customHeight="false" outlineLevel="0" collapsed="false">
      <c r="A6" s="12" t="s">
        <v>4</v>
      </c>
      <c r="B6" s="12" t="s">
        <v>47</v>
      </c>
      <c r="C6" s="12" t="s">
        <v>51</v>
      </c>
      <c r="D6" s="13" t="s">
        <v>49</v>
      </c>
    </row>
    <row r="7" customFormat="false" ht="17.15" hidden="false" customHeight="false" outlineLevel="0" collapsed="false">
      <c r="A7" s="12" t="s">
        <v>4</v>
      </c>
      <c r="B7" s="12" t="s">
        <v>47</v>
      </c>
      <c r="C7" s="13" t="s">
        <v>52</v>
      </c>
      <c r="D7" s="13" t="s">
        <v>49</v>
      </c>
    </row>
    <row r="8" customFormat="false" ht="17.15" hidden="false" customHeight="false" outlineLevel="0" collapsed="false">
      <c r="A8" s="12" t="s">
        <v>4</v>
      </c>
      <c r="B8" s="12" t="s">
        <v>47</v>
      </c>
      <c r="C8" s="12" t="s">
        <v>53</v>
      </c>
      <c r="D8" s="13" t="s">
        <v>49</v>
      </c>
    </row>
    <row r="9" customFormat="false" ht="17.15" hidden="false" customHeight="false" outlineLevel="0" collapsed="false">
      <c r="A9" s="12" t="s">
        <v>4</v>
      </c>
      <c r="B9" s="12" t="s">
        <v>47</v>
      </c>
      <c r="C9" s="13" t="s">
        <v>54</v>
      </c>
      <c r="D9" s="13" t="s">
        <v>49</v>
      </c>
    </row>
    <row r="10" customFormat="false" ht="17.15" hidden="false" customHeight="false" outlineLevel="0" collapsed="false">
      <c r="A10" s="12" t="s">
        <v>5</v>
      </c>
      <c r="B10" s="12" t="s">
        <v>55</v>
      </c>
      <c r="C10" s="12" t="s">
        <v>56</v>
      </c>
      <c r="D10" s="13" t="s">
        <v>57</v>
      </c>
    </row>
    <row r="11" customFormat="false" ht="17.15" hidden="false" customHeight="false" outlineLevel="0" collapsed="false">
      <c r="A11" s="12" t="s">
        <v>5</v>
      </c>
      <c r="B11" s="12" t="s">
        <v>55</v>
      </c>
      <c r="C11" s="12" t="s">
        <v>58</v>
      </c>
      <c r="D11" s="13" t="s">
        <v>57</v>
      </c>
    </row>
    <row r="12" customFormat="false" ht="17.15" hidden="false" customHeight="false" outlineLevel="0" collapsed="false">
      <c r="A12" s="12" t="s">
        <v>5</v>
      </c>
      <c r="B12" s="12" t="s">
        <v>55</v>
      </c>
      <c r="C12" s="12" t="s">
        <v>59</v>
      </c>
      <c r="D12" s="13" t="s">
        <v>57</v>
      </c>
    </row>
    <row r="13" customFormat="false" ht="17.15" hidden="false" customHeight="false" outlineLevel="0" collapsed="false">
      <c r="A13" s="12" t="s">
        <v>5</v>
      </c>
      <c r="B13" s="12" t="s">
        <v>55</v>
      </c>
      <c r="C13" s="12" t="s">
        <v>60</v>
      </c>
      <c r="D13" s="13" t="s">
        <v>57</v>
      </c>
    </row>
    <row r="14" customFormat="false" ht="17.15" hidden="false" customHeight="false" outlineLevel="0" collapsed="false">
      <c r="A14" s="12" t="s">
        <v>5</v>
      </c>
      <c r="B14" s="12" t="s">
        <v>55</v>
      </c>
      <c r="C14" s="13" t="s">
        <v>61</v>
      </c>
      <c r="D14" s="13" t="s">
        <v>57</v>
      </c>
    </row>
    <row r="15" customFormat="false" ht="17.15" hidden="false" customHeight="false" outlineLevel="0" collapsed="false">
      <c r="A15" s="12" t="s">
        <v>5</v>
      </c>
      <c r="B15" s="12" t="s">
        <v>55</v>
      </c>
      <c r="C15" s="12" t="s">
        <v>62</v>
      </c>
      <c r="D15" s="13" t="s">
        <v>63</v>
      </c>
    </row>
    <row r="16" customFormat="false" ht="17.15" hidden="false" customHeight="false" outlineLevel="0" collapsed="false">
      <c r="A16" s="12" t="s">
        <v>5</v>
      </c>
      <c r="B16" s="12" t="s">
        <v>55</v>
      </c>
      <c r="C16" s="13" t="s">
        <v>64</v>
      </c>
      <c r="D16" s="13" t="s">
        <v>63</v>
      </c>
    </row>
    <row r="17" customFormat="false" ht="17.15" hidden="false" customHeight="false" outlineLevel="0" collapsed="false">
      <c r="A17" s="12" t="s">
        <v>5</v>
      </c>
      <c r="B17" s="12" t="s">
        <v>55</v>
      </c>
      <c r="C17" s="12" t="s">
        <v>65</v>
      </c>
      <c r="D17" s="13" t="s">
        <v>63</v>
      </c>
    </row>
    <row r="18" customFormat="false" ht="17.15" hidden="false" customHeight="false" outlineLevel="0" collapsed="false">
      <c r="A18" s="12" t="s">
        <v>5</v>
      </c>
      <c r="B18" s="12" t="s">
        <v>55</v>
      </c>
      <c r="C18" s="12" t="s">
        <v>66</v>
      </c>
      <c r="D18" s="13" t="s">
        <v>63</v>
      </c>
    </row>
    <row r="19" customFormat="false" ht="17.15" hidden="false" customHeight="false" outlineLevel="0" collapsed="false">
      <c r="A19" s="12" t="s">
        <v>5</v>
      </c>
      <c r="B19" s="12" t="s">
        <v>67</v>
      </c>
      <c r="C19" s="12" t="s">
        <v>68</v>
      </c>
      <c r="D19" s="13" t="s">
        <v>69</v>
      </c>
    </row>
    <row r="20" customFormat="false" ht="17.15" hidden="false" customHeight="false" outlineLevel="0" collapsed="false">
      <c r="A20" s="12" t="s">
        <v>5</v>
      </c>
      <c r="B20" s="12" t="s">
        <v>67</v>
      </c>
      <c r="C20" s="13" t="s">
        <v>70</v>
      </c>
      <c r="D20" s="13" t="s">
        <v>69</v>
      </c>
    </row>
    <row r="21" customFormat="false" ht="17.15" hidden="false" customHeight="false" outlineLevel="0" collapsed="false">
      <c r="A21" s="12" t="s">
        <v>5</v>
      </c>
      <c r="B21" s="12" t="s">
        <v>67</v>
      </c>
      <c r="C21" s="12" t="s">
        <v>71</v>
      </c>
      <c r="D21" s="13" t="s">
        <v>69</v>
      </c>
    </row>
    <row r="22" customFormat="false" ht="17.15" hidden="false" customHeight="false" outlineLevel="0" collapsed="false">
      <c r="A22" s="12" t="s">
        <v>5</v>
      </c>
      <c r="B22" s="12" t="s">
        <v>67</v>
      </c>
      <c r="C22" s="12" t="s">
        <v>72</v>
      </c>
      <c r="D22" s="13" t="s">
        <v>69</v>
      </c>
    </row>
    <row r="23" customFormat="false" ht="17.15" hidden="false" customHeight="false" outlineLevel="0" collapsed="false">
      <c r="A23" s="12" t="s">
        <v>5</v>
      </c>
      <c r="B23" s="12" t="s">
        <v>55</v>
      </c>
      <c r="C23" s="12" t="s">
        <v>73</v>
      </c>
      <c r="D23" s="13" t="s">
        <v>74</v>
      </c>
    </row>
    <row r="24" customFormat="false" ht="17.15" hidden="false" customHeight="false" outlineLevel="0" collapsed="false">
      <c r="A24" s="12" t="s">
        <v>5</v>
      </c>
      <c r="B24" s="12" t="s">
        <v>67</v>
      </c>
      <c r="C24" s="12" t="s">
        <v>75</v>
      </c>
      <c r="D24" s="13" t="s">
        <v>74</v>
      </c>
    </row>
    <row r="25" customFormat="false" ht="17.15" hidden="false" customHeight="false" outlineLevel="0" collapsed="false">
      <c r="A25" s="12" t="s">
        <v>5</v>
      </c>
      <c r="B25" s="12" t="s">
        <v>67</v>
      </c>
      <c r="C25" s="12" t="s">
        <v>76</v>
      </c>
      <c r="D25" s="13" t="s">
        <v>74</v>
      </c>
    </row>
    <row r="26" customFormat="false" ht="17.15" hidden="false" customHeight="false" outlineLevel="0" collapsed="false">
      <c r="A26" s="12" t="s">
        <v>5</v>
      </c>
      <c r="B26" s="12" t="s">
        <v>77</v>
      </c>
      <c r="C26" s="12" t="s">
        <v>78</v>
      </c>
      <c r="D26" s="13" t="s">
        <v>49</v>
      </c>
    </row>
    <row r="27" customFormat="false" ht="17.15" hidden="false" customHeight="false" outlineLevel="0" collapsed="false">
      <c r="A27" s="12" t="s">
        <v>6</v>
      </c>
      <c r="B27" s="12" t="s">
        <v>79</v>
      </c>
      <c r="C27" s="12" t="s">
        <v>80</v>
      </c>
      <c r="D27" s="13" t="s">
        <v>57</v>
      </c>
    </row>
    <row r="28" customFormat="false" ht="17.15" hidden="false" customHeight="false" outlineLevel="0" collapsed="false">
      <c r="A28" s="12" t="s">
        <v>6</v>
      </c>
      <c r="B28" s="12" t="s">
        <v>79</v>
      </c>
      <c r="C28" s="12" t="s">
        <v>81</v>
      </c>
      <c r="D28" s="13" t="s">
        <v>82</v>
      </c>
    </row>
    <row r="29" customFormat="false" ht="17.15" hidden="false" customHeight="false" outlineLevel="0" collapsed="false">
      <c r="A29" s="12" t="s">
        <v>6</v>
      </c>
      <c r="B29" s="12" t="s">
        <v>79</v>
      </c>
      <c r="C29" s="12" t="s">
        <v>83</v>
      </c>
      <c r="D29" s="13" t="s">
        <v>82</v>
      </c>
    </row>
    <row r="30" customFormat="false" ht="17.15" hidden="false" customHeight="false" outlineLevel="0" collapsed="false">
      <c r="A30" s="12" t="s">
        <v>6</v>
      </c>
      <c r="B30" s="12" t="s">
        <v>79</v>
      </c>
      <c r="C30" s="12" t="s">
        <v>84</v>
      </c>
      <c r="D30" s="13" t="s">
        <v>82</v>
      </c>
    </row>
    <row r="31" customFormat="false" ht="17.15" hidden="false" customHeight="false" outlineLevel="0" collapsed="false">
      <c r="A31" s="12" t="s">
        <v>6</v>
      </c>
      <c r="B31" s="12" t="s">
        <v>79</v>
      </c>
      <c r="C31" s="12" t="s">
        <v>85</v>
      </c>
      <c r="D31" s="13" t="s">
        <v>82</v>
      </c>
    </row>
    <row r="32" customFormat="false" ht="17.15" hidden="false" customHeight="false" outlineLevel="0" collapsed="false">
      <c r="A32" s="12" t="s">
        <v>6</v>
      </c>
      <c r="B32" s="12" t="s">
        <v>79</v>
      </c>
      <c r="C32" s="13" t="s">
        <v>86</v>
      </c>
      <c r="D32" s="13" t="s">
        <v>82</v>
      </c>
    </row>
    <row r="33" customFormat="false" ht="17.15" hidden="false" customHeight="false" outlineLevel="0" collapsed="false">
      <c r="A33" s="12" t="s">
        <v>6</v>
      </c>
      <c r="B33" s="12" t="s">
        <v>79</v>
      </c>
      <c r="C33" s="12" t="s">
        <v>87</v>
      </c>
      <c r="D33" s="13" t="s">
        <v>82</v>
      </c>
    </row>
    <row r="34" customFormat="false" ht="17.15" hidden="false" customHeight="false" outlineLevel="0" collapsed="false">
      <c r="A34" s="12" t="s">
        <v>6</v>
      </c>
      <c r="B34" s="12" t="s">
        <v>88</v>
      </c>
      <c r="C34" s="12" t="s">
        <v>89</v>
      </c>
      <c r="D34" s="13" t="s">
        <v>49</v>
      </c>
    </row>
    <row r="35" customFormat="false" ht="17.15" hidden="false" customHeight="false" outlineLevel="0" collapsed="false">
      <c r="A35" s="12" t="s">
        <v>6</v>
      </c>
      <c r="B35" s="12" t="s">
        <v>88</v>
      </c>
      <c r="C35" s="12" t="s">
        <v>90</v>
      </c>
      <c r="D35" s="13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"/>
    <col collapsed="false" customWidth="true" hidden="false" outlineLevel="0" max="3" min="3" style="0" width="26"/>
    <col collapsed="false" customWidth="true" hidden="false" outlineLevel="0" max="4" min="4" style="0" width="42"/>
    <col collapsed="false" customWidth="true" hidden="false" outlineLevel="0" max="5" min="5" style="0" width="40"/>
    <col collapsed="false" customWidth="true" hidden="false" outlineLevel="0" max="6" min="6" style="0" width="22"/>
  </cols>
  <sheetData>
    <row r="1" customFormat="false" ht="17.35" hidden="false" customHeight="false" outlineLevel="0" collapsed="false">
      <c r="A1" s="10" t="s">
        <v>91</v>
      </c>
    </row>
    <row r="3" customFormat="false" ht="17.15" hidden="false" customHeight="false" outlineLevel="0" collapsed="false">
      <c r="A3" s="11" t="s">
        <v>92</v>
      </c>
      <c r="B3" s="11" t="s">
        <v>43</v>
      </c>
      <c r="C3" s="11" t="s">
        <v>93</v>
      </c>
      <c r="D3" s="11" t="s">
        <v>94</v>
      </c>
      <c r="E3" s="11" t="s">
        <v>95</v>
      </c>
      <c r="F3" s="11" t="s">
        <v>96</v>
      </c>
    </row>
    <row r="4" customFormat="false" ht="32.8" hidden="false" customHeight="false" outlineLevel="0" collapsed="false">
      <c r="A4" s="6" t="s">
        <v>97</v>
      </c>
      <c r="B4" s="6" t="s">
        <v>4</v>
      </c>
      <c r="C4" s="6" t="s">
        <v>98</v>
      </c>
      <c r="D4" s="6" t="s">
        <v>99</v>
      </c>
      <c r="E4" s="6" t="s">
        <v>100</v>
      </c>
      <c r="F4" s="14"/>
    </row>
    <row r="5" customFormat="false" ht="17.15" hidden="false" customHeight="false" outlineLevel="0" collapsed="false">
      <c r="A5" s="6" t="s">
        <v>101</v>
      </c>
      <c r="B5" s="6" t="s">
        <v>4</v>
      </c>
      <c r="C5" s="6" t="s">
        <v>102</v>
      </c>
      <c r="D5" s="6" t="s">
        <v>103</v>
      </c>
      <c r="E5" s="6" t="s">
        <v>104</v>
      </c>
      <c r="F5" s="14"/>
    </row>
    <row r="6" customFormat="false" ht="17.15" hidden="false" customHeight="false" outlineLevel="0" collapsed="false">
      <c r="A6" s="6" t="s">
        <v>105</v>
      </c>
      <c r="B6" s="6" t="s">
        <v>4</v>
      </c>
      <c r="C6" s="6" t="s">
        <v>106</v>
      </c>
      <c r="D6" s="6" t="s">
        <v>107</v>
      </c>
      <c r="E6" s="6" t="s">
        <v>10</v>
      </c>
      <c r="F6" s="14"/>
    </row>
    <row r="7" customFormat="false" ht="17.15" hidden="false" customHeight="false" outlineLevel="0" collapsed="false">
      <c r="A7" s="6" t="s">
        <v>58</v>
      </c>
      <c r="B7" s="6" t="s">
        <v>5</v>
      </c>
      <c r="C7" s="6" t="s">
        <v>10</v>
      </c>
      <c r="D7" s="6" t="s">
        <v>108</v>
      </c>
      <c r="E7" s="6" t="s">
        <v>109</v>
      </c>
      <c r="F7" s="14"/>
    </row>
    <row r="8" customFormat="false" ht="32.8" hidden="false" customHeight="false" outlineLevel="0" collapsed="false">
      <c r="A8" s="6" t="s">
        <v>110</v>
      </c>
      <c r="B8" s="6" t="s">
        <v>6</v>
      </c>
      <c r="C8" s="6" t="s">
        <v>111</v>
      </c>
      <c r="D8" s="6" t="s">
        <v>112</v>
      </c>
      <c r="E8" s="6" t="s">
        <v>113</v>
      </c>
      <c r="F8" s="14"/>
    </row>
    <row r="9" customFormat="false" ht="17.15" hidden="false" customHeight="false" outlineLevel="0" collapsed="false">
      <c r="A9" s="6" t="s">
        <v>37</v>
      </c>
      <c r="B9" s="7" t="s">
        <v>114</v>
      </c>
      <c r="C9" s="7" t="s">
        <v>115</v>
      </c>
      <c r="D9" s="6" t="s">
        <v>116</v>
      </c>
      <c r="E9" s="6" t="s">
        <v>117</v>
      </c>
      <c r="F9" s="14"/>
    </row>
    <row r="10" customFormat="false" ht="29.85" hidden="false" customHeight="false" outlineLevel="0" collapsed="false">
      <c r="A10" s="6" t="s">
        <v>118</v>
      </c>
      <c r="B10" s="6" t="s">
        <v>4</v>
      </c>
      <c r="C10" s="6" t="s">
        <v>119</v>
      </c>
      <c r="D10" s="6" t="s">
        <v>120</v>
      </c>
      <c r="E10" s="7" t="s">
        <v>121</v>
      </c>
      <c r="F10" s="14"/>
    </row>
    <row r="11" customFormat="false" ht="17.15" hidden="false" customHeight="false" outlineLevel="0" collapsed="false">
      <c r="A11" s="6" t="s">
        <v>122</v>
      </c>
      <c r="B11" s="7" t="s">
        <v>16</v>
      </c>
      <c r="C11" s="6" t="s">
        <v>123</v>
      </c>
      <c r="D11" s="6" t="s">
        <v>124</v>
      </c>
      <c r="E11" s="7" t="s">
        <v>125</v>
      </c>
      <c r="F11" s="14"/>
    </row>
    <row r="12" customFormat="false" ht="48.5" hidden="false" customHeight="false" outlineLevel="0" collapsed="false">
      <c r="A12" s="6" t="s">
        <v>126</v>
      </c>
      <c r="B12" s="6" t="s">
        <v>6</v>
      </c>
      <c r="C12" s="6" t="s">
        <v>127</v>
      </c>
      <c r="D12" s="6" t="s">
        <v>128</v>
      </c>
      <c r="E12" s="6" t="s">
        <v>129</v>
      </c>
      <c r="F12" s="14"/>
    </row>
    <row r="14" customFormat="false" ht="15" hidden="false" customHeight="false" outlineLevel="0" collapsed="false">
      <c r="A14" s="15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3" min="3" style="0" width="14"/>
    <col collapsed="false" customWidth="true" hidden="false" outlineLevel="0" max="5" min="4" style="0" width="28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48"/>
  </cols>
  <sheetData>
    <row r="1" customFormat="false" ht="17.15" hidden="false" customHeight="false" outlineLevel="0" collapsed="false">
      <c r="A1" s="11" t="s">
        <v>43</v>
      </c>
      <c r="B1" s="11" t="s">
        <v>131</v>
      </c>
      <c r="C1" s="11" t="s">
        <v>3</v>
      </c>
      <c r="D1" s="11" t="s">
        <v>132</v>
      </c>
      <c r="E1" s="11" t="s">
        <v>45</v>
      </c>
      <c r="F1" s="11" t="s">
        <v>133</v>
      </c>
      <c r="G1" s="11" t="s">
        <v>134</v>
      </c>
      <c r="H1" s="11" t="s">
        <v>135</v>
      </c>
      <c r="I1" s="11" t="s">
        <v>136</v>
      </c>
    </row>
    <row r="2" customFormat="false" ht="17.15" hidden="false" customHeight="false" outlineLevel="0" collapsed="false">
      <c r="A2" s="16" t="s">
        <v>4</v>
      </c>
      <c r="B2" s="17" t="n">
        <v>1</v>
      </c>
      <c r="C2" s="16" t="s">
        <v>10</v>
      </c>
      <c r="D2" s="16" t="s">
        <v>137</v>
      </c>
      <c r="E2" s="16" t="s">
        <v>138</v>
      </c>
      <c r="F2" s="18" t="s">
        <v>139</v>
      </c>
      <c r="G2" s="18" t="s">
        <v>139</v>
      </c>
      <c r="H2" s="16" t="s">
        <v>140</v>
      </c>
      <c r="I2" s="16" t="s">
        <v>141</v>
      </c>
    </row>
    <row r="3" customFormat="false" ht="17.15" hidden="false" customHeight="false" outlineLevel="0" collapsed="false">
      <c r="A3" s="16" t="s">
        <v>4</v>
      </c>
      <c r="B3" s="17" t="n">
        <v>1</v>
      </c>
      <c r="C3" s="16" t="s">
        <v>10</v>
      </c>
      <c r="D3" s="16" t="s">
        <v>137</v>
      </c>
      <c r="E3" s="16" t="s">
        <v>142</v>
      </c>
      <c r="F3" s="18" t="s">
        <v>143</v>
      </c>
      <c r="G3" s="18" t="s">
        <v>143</v>
      </c>
      <c r="H3" s="16" t="s">
        <v>140</v>
      </c>
      <c r="I3" s="16"/>
    </row>
    <row r="4" customFormat="false" ht="17.15" hidden="false" customHeight="false" outlineLevel="0" collapsed="false">
      <c r="A4" s="16" t="s">
        <v>4</v>
      </c>
      <c r="B4" s="17" t="n">
        <v>1</v>
      </c>
      <c r="C4" s="16" t="s">
        <v>10</v>
      </c>
      <c r="D4" s="16" t="s">
        <v>137</v>
      </c>
      <c r="E4" s="19" t="s">
        <v>144</v>
      </c>
      <c r="F4" s="18" t="s">
        <v>145</v>
      </c>
      <c r="G4" s="18" t="s">
        <v>145</v>
      </c>
      <c r="H4" s="16" t="s">
        <v>140</v>
      </c>
      <c r="I4" s="19"/>
    </row>
    <row r="5" customFormat="false" ht="17.15" hidden="false" customHeight="false" outlineLevel="0" collapsed="false">
      <c r="A5" s="16" t="s">
        <v>4</v>
      </c>
      <c r="B5" s="17" t="n">
        <v>1</v>
      </c>
      <c r="C5" s="16" t="s">
        <v>10</v>
      </c>
      <c r="D5" s="16" t="s">
        <v>137</v>
      </c>
      <c r="E5" s="16" t="s">
        <v>146</v>
      </c>
      <c r="F5" s="18" t="s">
        <v>147</v>
      </c>
      <c r="G5" s="18" t="s">
        <v>147</v>
      </c>
      <c r="H5" s="16" t="s">
        <v>140</v>
      </c>
      <c r="I5" s="16" t="s">
        <v>148</v>
      </c>
    </row>
    <row r="6" customFormat="false" ht="17.15" hidden="false" customHeight="false" outlineLevel="0" collapsed="false">
      <c r="A6" s="16" t="s">
        <v>4</v>
      </c>
      <c r="B6" s="17" t="n">
        <v>1</v>
      </c>
      <c r="C6" s="16" t="s">
        <v>10</v>
      </c>
      <c r="D6" s="16" t="s">
        <v>149</v>
      </c>
      <c r="E6" s="16" t="s">
        <v>105</v>
      </c>
      <c r="F6" s="18" t="s">
        <v>150</v>
      </c>
      <c r="G6" s="18" t="s">
        <v>150</v>
      </c>
      <c r="H6" s="16" t="s">
        <v>151</v>
      </c>
      <c r="I6" s="19" t="s">
        <v>152</v>
      </c>
    </row>
    <row r="7" customFormat="false" ht="17.15" hidden="false" customHeight="false" outlineLevel="0" collapsed="false">
      <c r="A7" s="16" t="s">
        <v>4</v>
      </c>
      <c r="B7" s="17" t="n">
        <v>2</v>
      </c>
      <c r="C7" s="16" t="s">
        <v>14</v>
      </c>
      <c r="D7" s="16" t="s">
        <v>137</v>
      </c>
      <c r="E7" s="16" t="s">
        <v>153</v>
      </c>
      <c r="F7" s="18" t="s">
        <v>154</v>
      </c>
      <c r="G7" s="18" t="s">
        <v>154</v>
      </c>
      <c r="H7" s="16" t="s">
        <v>151</v>
      </c>
      <c r="I7" s="16" t="s">
        <v>155</v>
      </c>
    </row>
    <row r="8" customFormat="false" ht="17.15" hidden="false" customHeight="false" outlineLevel="0" collapsed="false">
      <c r="A8" s="16" t="s">
        <v>4</v>
      </c>
      <c r="B8" s="17" t="n">
        <v>2</v>
      </c>
      <c r="C8" s="16" t="s">
        <v>14</v>
      </c>
      <c r="D8" s="16" t="s">
        <v>137</v>
      </c>
      <c r="E8" s="16" t="s">
        <v>101</v>
      </c>
      <c r="F8" s="18" t="s">
        <v>156</v>
      </c>
      <c r="G8" s="18" t="s">
        <v>156</v>
      </c>
      <c r="H8" s="16" t="s">
        <v>151</v>
      </c>
      <c r="I8" s="16" t="s">
        <v>157</v>
      </c>
    </row>
    <row r="9" customFormat="false" ht="17.15" hidden="false" customHeight="false" outlineLevel="0" collapsed="false">
      <c r="A9" s="16" t="s">
        <v>4</v>
      </c>
      <c r="B9" s="17" t="n">
        <v>3</v>
      </c>
      <c r="C9" s="16" t="s">
        <v>18</v>
      </c>
      <c r="D9" s="16" t="s">
        <v>137</v>
      </c>
      <c r="E9" s="16" t="s">
        <v>158</v>
      </c>
      <c r="F9" s="18" t="s">
        <v>159</v>
      </c>
      <c r="G9" s="18" t="s">
        <v>159</v>
      </c>
      <c r="H9" s="16" t="s">
        <v>151</v>
      </c>
      <c r="I9" s="19" t="s">
        <v>160</v>
      </c>
    </row>
    <row r="10" customFormat="false" ht="17.15" hidden="false" customHeight="false" outlineLevel="0" collapsed="false">
      <c r="A10" s="16" t="s">
        <v>4</v>
      </c>
      <c r="B10" s="17" t="n">
        <v>3</v>
      </c>
      <c r="C10" s="16" t="s">
        <v>18</v>
      </c>
      <c r="D10" s="16" t="s">
        <v>149</v>
      </c>
      <c r="E10" s="16" t="s">
        <v>161</v>
      </c>
      <c r="F10" s="18" t="s">
        <v>162</v>
      </c>
      <c r="G10" s="18" t="s">
        <v>162</v>
      </c>
      <c r="H10" s="16" t="s">
        <v>151</v>
      </c>
      <c r="I10" s="16" t="s">
        <v>163</v>
      </c>
    </row>
    <row r="11" customFormat="false" ht="17.15" hidden="false" customHeight="false" outlineLevel="0" collapsed="false">
      <c r="A11" s="16" t="s">
        <v>4</v>
      </c>
      <c r="B11" s="17" t="n">
        <v>3</v>
      </c>
      <c r="C11" s="16" t="s">
        <v>18</v>
      </c>
      <c r="D11" s="16" t="s">
        <v>164</v>
      </c>
      <c r="E11" s="16" t="s">
        <v>165</v>
      </c>
      <c r="F11" s="18" t="s">
        <v>166</v>
      </c>
      <c r="G11" s="18" t="s">
        <v>166</v>
      </c>
      <c r="H11" s="16" t="s">
        <v>167</v>
      </c>
      <c r="I11" s="16" t="s">
        <v>168</v>
      </c>
    </row>
    <row r="12" customFormat="false" ht="17.15" hidden="false" customHeight="false" outlineLevel="0" collapsed="false">
      <c r="A12" s="16" t="s">
        <v>4</v>
      </c>
      <c r="B12" s="17" t="n">
        <v>4</v>
      </c>
      <c r="C12" s="16" t="s">
        <v>22</v>
      </c>
      <c r="D12" s="16" t="s">
        <v>149</v>
      </c>
      <c r="E12" s="16" t="s">
        <v>169</v>
      </c>
      <c r="F12" s="18" t="s">
        <v>170</v>
      </c>
      <c r="G12" s="18" t="s">
        <v>170</v>
      </c>
      <c r="H12" s="16" t="s">
        <v>140</v>
      </c>
      <c r="I12" s="16" t="s">
        <v>171</v>
      </c>
    </row>
    <row r="13" customFormat="false" ht="17.15" hidden="false" customHeight="false" outlineLevel="0" collapsed="false">
      <c r="A13" s="16" t="s">
        <v>4</v>
      </c>
      <c r="B13" s="17" t="n">
        <v>4</v>
      </c>
      <c r="C13" s="16" t="s">
        <v>22</v>
      </c>
      <c r="D13" s="16" t="s">
        <v>149</v>
      </c>
      <c r="E13" s="16" t="s">
        <v>172</v>
      </c>
      <c r="F13" s="18" t="s">
        <v>173</v>
      </c>
      <c r="G13" s="18" t="s">
        <v>173</v>
      </c>
      <c r="H13" s="16" t="s">
        <v>140</v>
      </c>
      <c r="I13" s="19"/>
    </row>
    <row r="14" customFormat="false" ht="17.15" hidden="false" customHeight="false" outlineLevel="0" collapsed="false">
      <c r="A14" s="16" t="s">
        <v>4</v>
      </c>
      <c r="B14" s="17" t="n">
        <v>4</v>
      </c>
      <c r="C14" s="16" t="s">
        <v>22</v>
      </c>
      <c r="D14" s="16" t="s">
        <v>149</v>
      </c>
      <c r="E14" s="16" t="s">
        <v>174</v>
      </c>
      <c r="F14" s="18" t="s">
        <v>175</v>
      </c>
      <c r="G14" s="18" t="s">
        <v>175</v>
      </c>
      <c r="H14" s="16" t="s">
        <v>140</v>
      </c>
      <c r="I14" s="19"/>
    </row>
    <row r="15" customFormat="false" ht="17.15" hidden="false" customHeight="false" outlineLevel="0" collapsed="false">
      <c r="A15" s="16" t="s">
        <v>4</v>
      </c>
      <c r="B15" s="17" t="n">
        <v>4</v>
      </c>
      <c r="C15" s="16" t="s">
        <v>22</v>
      </c>
      <c r="D15" s="16" t="s">
        <v>149</v>
      </c>
      <c r="E15" s="16" t="s">
        <v>176</v>
      </c>
      <c r="F15" s="18" t="s">
        <v>177</v>
      </c>
      <c r="G15" s="18" t="s">
        <v>177</v>
      </c>
      <c r="H15" s="16" t="s">
        <v>140</v>
      </c>
      <c r="I15" s="19"/>
    </row>
    <row r="16" customFormat="false" ht="17.15" hidden="false" customHeight="false" outlineLevel="0" collapsed="false">
      <c r="A16" s="16" t="s">
        <v>4</v>
      </c>
      <c r="B16" s="17" t="n">
        <v>4</v>
      </c>
      <c r="C16" s="16" t="s">
        <v>22</v>
      </c>
      <c r="D16" s="16" t="s">
        <v>149</v>
      </c>
      <c r="E16" s="16" t="s">
        <v>178</v>
      </c>
      <c r="F16" s="18" t="s">
        <v>179</v>
      </c>
      <c r="G16" s="18" t="s">
        <v>179</v>
      </c>
      <c r="H16" s="16" t="s">
        <v>140</v>
      </c>
      <c r="I16" s="19"/>
    </row>
    <row r="17" customFormat="false" ht="17.15" hidden="false" customHeight="false" outlineLevel="0" collapsed="false">
      <c r="A17" s="16" t="s">
        <v>4</v>
      </c>
      <c r="B17" s="17" t="n">
        <v>4</v>
      </c>
      <c r="C17" s="16" t="s">
        <v>22</v>
      </c>
      <c r="D17" s="16" t="s">
        <v>149</v>
      </c>
      <c r="E17" s="16" t="s">
        <v>180</v>
      </c>
      <c r="F17" s="18" t="s">
        <v>181</v>
      </c>
      <c r="G17" s="18" t="s">
        <v>181</v>
      </c>
      <c r="H17" s="16" t="s">
        <v>140</v>
      </c>
      <c r="I17" s="19"/>
    </row>
    <row r="18" customFormat="false" ht="17.15" hidden="false" customHeight="false" outlineLevel="0" collapsed="false">
      <c r="A18" s="16" t="s">
        <v>4</v>
      </c>
      <c r="B18" s="17" t="n">
        <v>4</v>
      </c>
      <c r="C18" s="16" t="s">
        <v>22</v>
      </c>
      <c r="D18" s="16" t="s">
        <v>149</v>
      </c>
      <c r="E18" s="16" t="s">
        <v>182</v>
      </c>
      <c r="F18" s="18" t="s">
        <v>183</v>
      </c>
      <c r="G18" s="18" t="s">
        <v>183</v>
      </c>
      <c r="H18" s="16" t="s">
        <v>140</v>
      </c>
      <c r="I18" s="19"/>
    </row>
    <row r="19" customFormat="false" ht="17.15" hidden="false" customHeight="false" outlineLevel="0" collapsed="false">
      <c r="A19" s="16" t="s">
        <v>4</v>
      </c>
      <c r="B19" s="17" t="n">
        <v>4</v>
      </c>
      <c r="C19" s="16" t="s">
        <v>22</v>
      </c>
      <c r="D19" s="16" t="s">
        <v>149</v>
      </c>
      <c r="E19" s="19" t="s">
        <v>184</v>
      </c>
      <c r="F19" s="18" t="s">
        <v>185</v>
      </c>
      <c r="G19" s="18" t="s">
        <v>185</v>
      </c>
      <c r="H19" s="16" t="s">
        <v>140</v>
      </c>
      <c r="I19" s="19"/>
    </row>
    <row r="20" customFormat="false" ht="17.15" hidden="false" customHeight="false" outlineLevel="0" collapsed="false">
      <c r="A20" s="16" t="s">
        <v>4</v>
      </c>
      <c r="B20" s="17" t="n">
        <v>4</v>
      </c>
      <c r="C20" s="16" t="s">
        <v>22</v>
      </c>
      <c r="D20" s="16" t="s">
        <v>149</v>
      </c>
      <c r="E20" s="16" t="s">
        <v>186</v>
      </c>
      <c r="F20" s="18" t="s">
        <v>187</v>
      </c>
      <c r="G20" s="18" t="s">
        <v>187</v>
      </c>
      <c r="H20" s="16" t="s">
        <v>140</v>
      </c>
      <c r="I20" s="16" t="s">
        <v>171</v>
      </c>
    </row>
    <row r="21" customFormat="false" ht="17.15" hidden="false" customHeight="false" outlineLevel="0" collapsed="false">
      <c r="A21" s="16" t="s">
        <v>4</v>
      </c>
      <c r="B21" s="17" t="n">
        <v>4</v>
      </c>
      <c r="C21" s="16" t="s">
        <v>22</v>
      </c>
      <c r="D21" s="16" t="s">
        <v>149</v>
      </c>
      <c r="E21" s="16" t="s">
        <v>188</v>
      </c>
      <c r="F21" s="18" t="s">
        <v>189</v>
      </c>
      <c r="G21" s="18" t="s">
        <v>189</v>
      </c>
      <c r="H21" s="16" t="s">
        <v>140</v>
      </c>
      <c r="I21" s="16" t="s">
        <v>171</v>
      </c>
    </row>
    <row r="22" customFormat="false" ht="17.15" hidden="false" customHeight="false" outlineLevel="0" collapsed="false">
      <c r="A22" s="16" t="s">
        <v>4</v>
      </c>
      <c r="B22" s="17" t="n">
        <v>5</v>
      </c>
      <c r="C22" s="16" t="s">
        <v>26</v>
      </c>
      <c r="D22" s="16" t="s">
        <v>164</v>
      </c>
      <c r="E22" s="16" t="s">
        <v>190</v>
      </c>
      <c r="F22" s="18" t="s">
        <v>191</v>
      </c>
      <c r="G22" s="18" t="s">
        <v>191</v>
      </c>
      <c r="H22" s="16" t="s">
        <v>167</v>
      </c>
      <c r="I22" s="16" t="s">
        <v>192</v>
      </c>
    </row>
    <row r="23" customFormat="false" ht="17.15" hidden="false" customHeight="false" outlineLevel="0" collapsed="false">
      <c r="A23" s="16" t="s">
        <v>4</v>
      </c>
      <c r="B23" s="17" t="n">
        <v>5</v>
      </c>
      <c r="C23" s="16" t="s">
        <v>26</v>
      </c>
      <c r="D23" s="16" t="s">
        <v>164</v>
      </c>
      <c r="E23" s="16" t="s">
        <v>193</v>
      </c>
      <c r="F23" s="18" t="s">
        <v>194</v>
      </c>
      <c r="G23" s="18" t="s">
        <v>194</v>
      </c>
      <c r="H23" s="16" t="s">
        <v>167</v>
      </c>
      <c r="I23" s="16" t="s">
        <v>195</v>
      </c>
    </row>
    <row r="24" customFormat="false" ht="17.15" hidden="false" customHeight="false" outlineLevel="0" collapsed="false">
      <c r="A24" s="16" t="s">
        <v>4</v>
      </c>
      <c r="B24" s="17" t="n">
        <v>6</v>
      </c>
      <c r="C24" s="16" t="s">
        <v>30</v>
      </c>
      <c r="D24" s="16" t="s">
        <v>196</v>
      </c>
      <c r="E24" s="16" t="s">
        <v>197</v>
      </c>
      <c r="F24" s="18" t="s">
        <v>198</v>
      </c>
      <c r="G24" s="18" t="s">
        <v>198</v>
      </c>
      <c r="H24" s="16" t="s">
        <v>140</v>
      </c>
      <c r="I24" s="19"/>
    </row>
    <row r="25" customFormat="false" ht="17.15" hidden="false" customHeight="false" outlineLevel="0" collapsed="false">
      <c r="A25" s="16" t="s">
        <v>4</v>
      </c>
      <c r="B25" s="17" t="n">
        <v>6</v>
      </c>
      <c r="C25" s="16" t="s">
        <v>30</v>
      </c>
      <c r="D25" s="16" t="s">
        <v>196</v>
      </c>
      <c r="E25" s="16" t="s">
        <v>199</v>
      </c>
      <c r="F25" s="18" t="s">
        <v>200</v>
      </c>
      <c r="G25" s="18" t="s">
        <v>200</v>
      </c>
      <c r="H25" s="16" t="s">
        <v>140</v>
      </c>
      <c r="I25" s="19"/>
    </row>
    <row r="26" customFormat="false" ht="17.15" hidden="false" customHeight="false" outlineLevel="0" collapsed="false">
      <c r="A26" s="16" t="s">
        <v>4</v>
      </c>
      <c r="B26" s="17" t="n">
        <v>6</v>
      </c>
      <c r="C26" s="16" t="s">
        <v>30</v>
      </c>
      <c r="D26" s="16" t="s">
        <v>196</v>
      </c>
      <c r="E26" s="19" t="s">
        <v>201</v>
      </c>
      <c r="F26" s="18" t="s">
        <v>202</v>
      </c>
      <c r="G26" s="18" t="s">
        <v>202</v>
      </c>
      <c r="H26" s="16" t="s">
        <v>140</v>
      </c>
      <c r="I26" s="19"/>
    </row>
    <row r="27" customFormat="false" ht="17.15" hidden="false" customHeight="false" outlineLevel="0" collapsed="false">
      <c r="A27" s="16" t="s">
        <v>4</v>
      </c>
      <c r="B27" s="17" t="n">
        <v>6</v>
      </c>
      <c r="C27" s="16" t="s">
        <v>30</v>
      </c>
      <c r="D27" s="16" t="s">
        <v>196</v>
      </c>
      <c r="E27" s="19" t="s">
        <v>203</v>
      </c>
      <c r="F27" s="18" t="s">
        <v>204</v>
      </c>
      <c r="G27" s="18" t="s">
        <v>204</v>
      </c>
      <c r="H27" s="16" t="s">
        <v>140</v>
      </c>
      <c r="I27" s="19"/>
    </row>
    <row r="28" customFormat="false" ht="17.15" hidden="false" customHeight="false" outlineLevel="0" collapsed="false">
      <c r="A28" s="16" t="s">
        <v>4</v>
      </c>
      <c r="B28" s="17" t="n">
        <v>6</v>
      </c>
      <c r="C28" s="16" t="s">
        <v>30</v>
      </c>
      <c r="D28" s="16" t="s">
        <v>196</v>
      </c>
      <c r="E28" s="16" t="s">
        <v>205</v>
      </c>
      <c r="F28" s="18" t="s">
        <v>206</v>
      </c>
      <c r="G28" s="18" t="s">
        <v>206</v>
      </c>
      <c r="H28" s="16" t="s">
        <v>140</v>
      </c>
      <c r="I28" s="19"/>
    </row>
    <row r="29" customFormat="false" ht="17.15" hidden="false" customHeight="false" outlineLevel="0" collapsed="false">
      <c r="A29" s="16" t="s">
        <v>4</v>
      </c>
      <c r="B29" s="17" t="n">
        <v>7</v>
      </c>
      <c r="C29" s="16" t="s">
        <v>34</v>
      </c>
      <c r="D29" s="16" t="s">
        <v>207</v>
      </c>
      <c r="E29" s="19" t="s">
        <v>208</v>
      </c>
      <c r="F29" s="18" t="s">
        <v>209</v>
      </c>
      <c r="G29" s="18" t="s">
        <v>209</v>
      </c>
      <c r="H29" s="16" t="s">
        <v>140</v>
      </c>
      <c r="I29" s="19"/>
    </row>
    <row r="30" customFormat="false" ht="17.15" hidden="false" customHeight="false" outlineLevel="0" collapsed="false">
      <c r="A30" s="16" t="s">
        <v>4</v>
      </c>
      <c r="B30" s="17" t="n">
        <v>7</v>
      </c>
      <c r="C30" s="16" t="s">
        <v>34</v>
      </c>
      <c r="D30" s="16" t="s">
        <v>207</v>
      </c>
      <c r="E30" s="16" t="s">
        <v>210</v>
      </c>
      <c r="F30" s="18" t="s">
        <v>211</v>
      </c>
      <c r="G30" s="18" t="s">
        <v>211</v>
      </c>
      <c r="H30" s="16" t="s">
        <v>140</v>
      </c>
      <c r="I30" s="19"/>
    </row>
    <row r="31" customFormat="false" ht="17.15" hidden="false" customHeight="false" outlineLevel="0" collapsed="false">
      <c r="A31" s="16" t="s">
        <v>4</v>
      </c>
      <c r="B31" s="17" t="n">
        <v>7</v>
      </c>
      <c r="C31" s="16" t="s">
        <v>34</v>
      </c>
      <c r="D31" s="16" t="s">
        <v>207</v>
      </c>
      <c r="E31" s="16" t="s">
        <v>212</v>
      </c>
      <c r="F31" s="18" t="s">
        <v>213</v>
      </c>
      <c r="G31" s="18" t="s">
        <v>213</v>
      </c>
      <c r="H31" s="16" t="s">
        <v>140</v>
      </c>
      <c r="I31" s="19"/>
    </row>
    <row r="32" customFormat="false" ht="17.15" hidden="false" customHeight="false" outlineLevel="0" collapsed="false">
      <c r="A32" s="16" t="s">
        <v>4</v>
      </c>
      <c r="B32" s="17" t="n">
        <v>7</v>
      </c>
      <c r="C32" s="16" t="s">
        <v>34</v>
      </c>
      <c r="D32" s="16" t="s">
        <v>207</v>
      </c>
      <c r="E32" s="16" t="s">
        <v>214</v>
      </c>
      <c r="F32" s="18" t="s">
        <v>215</v>
      </c>
      <c r="G32" s="18" t="s">
        <v>215</v>
      </c>
      <c r="H32" s="16" t="s">
        <v>140</v>
      </c>
      <c r="I32" s="19"/>
    </row>
    <row r="33" customFormat="false" ht="17.15" hidden="false" customHeight="false" outlineLevel="0" collapsed="false">
      <c r="A33" s="16" t="s">
        <v>4</v>
      </c>
      <c r="B33" s="17" t="n">
        <v>7</v>
      </c>
      <c r="C33" s="16" t="s">
        <v>34</v>
      </c>
      <c r="D33" s="16" t="s">
        <v>207</v>
      </c>
      <c r="E33" s="16" t="s">
        <v>216</v>
      </c>
      <c r="F33" s="18" t="s">
        <v>217</v>
      </c>
      <c r="G33" s="18" t="s">
        <v>217</v>
      </c>
      <c r="H33" s="16" t="s">
        <v>140</v>
      </c>
      <c r="I33" s="19"/>
    </row>
    <row r="34" customFormat="false" ht="17.15" hidden="false" customHeight="false" outlineLevel="0" collapsed="false">
      <c r="A34" s="16" t="s">
        <v>4</v>
      </c>
      <c r="B34" s="17" t="n">
        <v>7</v>
      </c>
      <c r="C34" s="16" t="s">
        <v>34</v>
      </c>
      <c r="D34" s="16" t="s">
        <v>207</v>
      </c>
      <c r="E34" s="16" t="s">
        <v>218</v>
      </c>
      <c r="F34" s="18" t="s">
        <v>219</v>
      </c>
      <c r="G34" s="18" t="s">
        <v>219</v>
      </c>
      <c r="H34" s="16" t="s">
        <v>140</v>
      </c>
      <c r="I34" s="19"/>
    </row>
    <row r="35" customFormat="false" ht="17.15" hidden="false" customHeight="false" outlineLevel="0" collapsed="false">
      <c r="A35" s="16" t="s">
        <v>4</v>
      </c>
      <c r="B35" s="17" t="n">
        <v>7</v>
      </c>
      <c r="C35" s="16" t="s">
        <v>34</v>
      </c>
      <c r="D35" s="16" t="s">
        <v>207</v>
      </c>
      <c r="E35" s="19" t="s">
        <v>220</v>
      </c>
      <c r="F35" s="18" t="s">
        <v>221</v>
      </c>
      <c r="G35" s="18" t="s">
        <v>221</v>
      </c>
      <c r="H35" s="16" t="s">
        <v>140</v>
      </c>
      <c r="I35" s="19"/>
    </row>
    <row r="36" customFormat="false" ht="17.15" hidden="false" customHeight="false" outlineLevel="0" collapsed="false">
      <c r="A36" s="16" t="s">
        <v>4</v>
      </c>
      <c r="B36" s="17" t="n">
        <v>7</v>
      </c>
      <c r="C36" s="16" t="s">
        <v>34</v>
      </c>
      <c r="D36" s="16" t="s">
        <v>207</v>
      </c>
      <c r="E36" s="16" t="s">
        <v>222</v>
      </c>
      <c r="F36" s="18" t="s">
        <v>223</v>
      </c>
      <c r="G36" s="18" t="s">
        <v>223</v>
      </c>
      <c r="H36" s="16" t="s">
        <v>140</v>
      </c>
      <c r="I36" s="19"/>
    </row>
    <row r="37" customFormat="false" ht="17.15" hidden="false" customHeight="false" outlineLevel="0" collapsed="false">
      <c r="A37" s="16" t="s">
        <v>4</v>
      </c>
      <c r="B37" s="17" t="n">
        <v>7</v>
      </c>
      <c r="C37" s="16" t="s">
        <v>34</v>
      </c>
      <c r="D37" s="16" t="s">
        <v>207</v>
      </c>
      <c r="E37" s="16" t="s">
        <v>224</v>
      </c>
      <c r="F37" s="18" t="s">
        <v>225</v>
      </c>
      <c r="G37" s="18" t="s">
        <v>225</v>
      </c>
      <c r="H37" s="16" t="s">
        <v>140</v>
      </c>
      <c r="I37" s="19"/>
    </row>
    <row r="38" customFormat="false" ht="17.15" hidden="false" customHeight="false" outlineLevel="0" collapsed="false">
      <c r="A38" s="16" t="s">
        <v>4</v>
      </c>
      <c r="B38" s="17" t="n">
        <v>7</v>
      </c>
      <c r="C38" s="16" t="s">
        <v>34</v>
      </c>
      <c r="D38" s="16" t="s">
        <v>207</v>
      </c>
      <c r="E38" s="19" t="s">
        <v>226</v>
      </c>
      <c r="F38" s="18" t="s">
        <v>227</v>
      </c>
      <c r="G38" s="18" t="s">
        <v>227</v>
      </c>
      <c r="H38" s="16" t="s">
        <v>140</v>
      </c>
      <c r="I38" s="19"/>
    </row>
    <row r="39" customFormat="false" ht="17.15" hidden="false" customHeight="false" outlineLevel="0" collapsed="false">
      <c r="A39" s="16" t="s">
        <v>4</v>
      </c>
      <c r="B39" s="17" t="n">
        <v>7</v>
      </c>
      <c r="C39" s="16" t="s">
        <v>34</v>
      </c>
      <c r="D39" s="16" t="s">
        <v>207</v>
      </c>
      <c r="E39" s="16" t="s">
        <v>228</v>
      </c>
      <c r="F39" s="18" t="s">
        <v>229</v>
      </c>
      <c r="G39" s="18" t="s">
        <v>229</v>
      </c>
      <c r="H39" s="16" t="s">
        <v>140</v>
      </c>
      <c r="I39" s="19"/>
    </row>
    <row r="40" customFormat="false" ht="17.15" hidden="false" customHeight="false" outlineLevel="0" collapsed="false">
      <c r="A40" s="16" t="s">
        <v>4</v>
      </c>
      <c r="B40" s="17" t="n">
        <v>7</v>
      </c>
      <c r="C40" s="16" t="s">
        <v>34</v>
      </c>
      <c r="D40" s="16" t="s">
        <v>207</v>
      </c>
      <c r="E40" s="16" t="s">
        <v>230</v>
      </c>
      <c r="F40" s="18" t="s">
        <v>231</v>
      </c>
      <c r="G40" s="18" t="s">
        <v>231</v>
      </c>
      <c r="H40" s="16" t="s">
        <v>140</v>
      </c>
      <c r="I40" s="19"/>
    </row>
    <row r="41" customFormat="false" ht="17.15" hidden="false" customHeight="false" outlineLevel="0" collapsed="false">
      <c r="A41" s="16" t="s">
        <v>4</v>
      </c>
      <c r="B41" s="17" t="n">
        <v>7</v>
      </c>
      <c r="C41" s="16" t="s">
        <v>34</v>
      </c>
      <c r="D41" s="16" t="s">
        <v>207</v>
      </c>
      <c r="E41" s="16" t="s">
        <v>232</v>
      </c>
      <c r="F41" s="18" t="s">
        <v>233</v>
      </c>
      <c r="G41" s="18" t="s">
        <v>233</v>
      </c>
      <c r="H41" s="16" t="s">
        <v>140</v>
      </c>
      <c r="I41" s="19"/>
    </row>
    <row r="42" customFormat="false" ht="17.15" hidden="false" customHeight="false" outlineLevel="0" collapsed="false">
      <c r="A42" s="16" t="s">
        <v>4</v>
      </c>
      <c r="B42" s="17" t="n">
        <v>7</v>
      </c>
      <c r="C42" s="16" t="s">
        <v>34</v>
      </c>
      <c r="D42" s="16" t="s">
        <v>207</v>
      </c>
      <c r="E42" s="16" t="s">
        <v>234</v>
      </c>
      <c r="F42" s="18" t="s">
        <v>235</v>
      </c>
      <c r="G42" s="18" t="s">
        <v>235</v>
      </c>
      <c r="H42" s="16" t="s">
        <v>140</v>
      </c>
      <c r="I42" s="19"/>
    </row>
    <row r="43" customFormat="false" ht="17.15" hidden="false" customHeight="false" outlineLevel="0" collapsed="false">
      <c r="A43" s="16" t="s">
        <v>4</v>
      </c>
      <c r="B43" s="17" t="n">
        <v>7</v>
      </c>
      <c r="C43" s="16" t="s">
        <v>34</v>
      </c>
      <c r="D43" s="16" t="s">
        <v>207</v>
      </c>
      <c r="E43" s="16" t="s">
        <v>236</v>
      </c>
      <c r="F43" s="18" t="s">
        <v>237</v>
      </c>
      <c r="G43" s="18" t="s">
        <v>237</v>
      </c>
      <c r="H43" s="16" t="s">
        <v>140</v>
      </c>
      <c r="I43" s="19"/>
    </row>
    <row r="44" customFormat="false" ht="17.15" hidden="false" customHeight="false" outlineLevel="0" collapsed="false">
      <c r="A44" s="16" t="s">
        <v>4</v>
      </c>
      <c r="B44" s="17" t="n">
        <v>7</v>
      </c>
      <c r="C44" s="16" t="s">
        <v>34</v>
      </c>
      <c r="D44" s="16" t="s">
        <v>207</v>
      </c>
      <c r="E44" s="16" t="s">
        <v>238</v>
      </c>
      <c r="F44" s="18" t="s">
        <v>239</v>
      </c>
      <c r="G44" s="18" t="s">
        <v>239</v>
      </c>
      <c r="H44" s="16" t="s">
        <v>140</v>
      </c>
      <c r="I44" s="19"/>
    </row>
    <row r="45" customFormat="false" ht="17.15" hidden="false" customHeight="false" outlineLevel="0" collapsed="false">
      <c r="A45" s="16" t="s">
        <v>4</v>
      </c>
      <c r="B45" s="17" t="n">
        <v>8</v>
      </c>
      <c r="C45" s="16" t="s">
        <v>37</v>
      </c>
      <c r="D45" s="16" t="s">
        <v>47</v>
      </c>
      <c r="E45" s="19" t="s">
        <v>48</v>
      </c>
      <c r="F45" s="18" t="s">
        <v>240</v>
      </c>
      <c r="G45" s="18" t="s">
        <v>240</v>
      </c>
      <c r="H45" s="16" t="s">
        <v>241</v>
      </c>
      <c r="I45" s="16" t="s">
        <v>242</v>
      </c>
    </row>
    <row r="46" customFormat="false" ht="17.15" hidden="false" customHeight="false" outlineLevel="0" collapsed="false">
      <c r="A46" s="16" t="s">
        <v>4</v>
      </c>
      <c r="B46" s="17" t="n">
        <v>8</v>
      </c>
      <c r="C46" s="16" t="s">
        <v>37</v>
      </c>
      <c r="D46" s="16" t="s">
        <v>47</v>
      </c>
      <c r="E46" s="16" t="s">
        <v>50</v>
      </c>
      <c r="F46" s="18" t="s">
        <v>243</v>
      </c>
      <c r="G46" s="18" t="s">
        <v>243</v>
      </c>
      <c r="H46" s="16" t="s">
        <v>241</v>
      </c>
      <c r="I46" s="16" t="s">
        <v>244</v>
      </c>
    </row>
    <row r="47" customFormat="false" ht="17.15" hidden="false" customHeight="false" outlineLevel="0" collapsed="false">
      <c r="A47" s="16" t="s">
        <v>4</v>
      </c>
      <c r="B47" s="17" t="n">
        <v>8</v>
      </c>
      <c r="C47" s="16" t="s">
        <v>37</v>
      </c>
      <c r="D47" s="16" t="s">
        <v>47</v>
      </c>
      <c r="E47" s="16" t="s">
        <v>51</v>
      </c>
      <c r="F47" s="18" t="s">
        <v>245</v>
      </c>
      <c r="G47" s="18" t="s">
        <v>245</v>
      </c>
      <c r="H47" s="16" t="s">
        <v>241</v>
      </c>
      <c r="I47" s="16" t="s">
        <v>244</v>
      </c>
    </row>
    <row r="48" customFormat="false" ht="17.15" hidden="false" customHeight="false" outlineLevel="0" collapsed="false">
      <c r="A48" s="16" t="s">
        <v>4</v>
      </c>
      <c r="B48" s="17" t="n">
        <v>8</v>
      </c>
      <c r="C48" s="16" t="s">
        <v>37</v>
      </c>
      <c r="D48" s="16" t="s">
        <v>47</v>
      </c>
      <c r="E48" s="19" t="s">
        <v>52</v>
      </c>
      <c r="F48" s="18" t="s">
        <v>246</v>
      </c>
      <c r="G48" s="18" t="s">
        <v>246</v>
      </c>
      <c r="H48" s="16" t="s">
        <v>241</v>
      </c>
      <c r="I48" s="16" t="s">
        <v>244</v>
      </c>
    </row>
    <row r="49" customFormat="false" ht="17.15" hidden="false" customHeight="false" outlineLevel="0" collapsed="false">
      <c r="A49" s="16" t="s">
        <v>4</v>
      </c>
      <c r="B49" s="17" t="n">
        <v>8</v>
      </c>
      <c r="C49" s="16" t="s">
        <v>37</v>
      </c>
      <c r="D49" s="16" t="s">
        <v>47</v>
      </c>
      <c r="E49" s="16" t="s">
        <v>53</v>
      </c>
      <c r="F49" s="18" t="s">
        <v>247</v>
      </c>
      <c r="G49" s="18" t="s">
        <v>247</v>
      </c>
      <c r="H49" s="16" t="s">
        <v>241</v>
      </c>
      <c r="I49" s="16" t="s">
        <v>244</v>
      </c>
    </row>
    <row r="50" customFormat="false" ht="17.15" hidden="false" customHeight="false" outlineLevel="0" collapsed="false">
      <c r="A50" s="16" t="s">
        <v>4</v>
      </c>
      <c r="B50" s="17" t="n">
        <v>8</v>
      </c>
      <c r="C50" s="16" t="s">
        <v>37</v>
      </c>
      <c r="D50" s="16" t="s">
        <v>47</v>
      </c>
      <c r="E50" s="19" t="s">
        <v>54</v>
      </c>
      <c r="F50" s="18" t="s">
        <v>248</v>
      </c>
      <c r="G50" s="18" t="s">
        <v>248</v>
      </c>
      <c r="H50" s="16" t="s">
        <v>241</v>
      </c>
      <c r="I50" s="16" t="s">
        <v>244</v>
      </c>
    </row>
    <row r="51" customFormat="false" ht="17.15" hidden="false" customHeight="false" outlineLevel="0" collapsed="false">
      <c r="A51" s="16" t="s">
        <v>5</v>
      </c>
      <c r="B51" s="17" t="n">
        <v>1</v>
      </c>
      <c r="C51" s="16" t="s">
        <v>10</v>
      </c>
      <c r="D51" s="16" t="s">
        <v>55</v>
      </c>
      <c r="E51" s="16" t="s">
        <v>56</v>
      </c>
      <c r="F51" s="18" t="s">
        <v>249</v>
      </c>
      <c r="G51" s="18" t="s">
        <v>250</v>
      </c>
      <c r="H51" s="16" t="s">
        <v>241</v>
      </c>
      <c r="I51" s="16" t="s">
        <v>251</v>
      </c>
    </row>
    <row r="52" customFormat="false" ht="17.15" hidden="false" customHeight="false" outlineLevel="0" collapsed="false">
      <c r="A52" s="16" t="s">
        <v>5</v>
      </c>
      <c r="B52" s="17" t="n">
        <v>1</v>
      </c>
      <c r="C52" s="16" t="s">
        <v>10</v>
      </c>
      <c r="D52" s="16" t="s">
        <v>55</v>
      </c>
      <c r="E52" s="16" t="s">
        <v>58</v>
      </c>
      <c r="F52" s="18" t="s">
        <v>252</v>
      </c>
      <c r="G52" s="18" t="s">
        <v>253</v>
      </c>
      <c r="H52" s="16" t="s">
        <v>241</v>
      </c>
      <c r="I52" s="16" t="s">
        <v>254</v>
      </c>
    </row>
    <row r="53" customFormat="false" ht="17.15" hidden="false" customHeight="false" outlineLevel="0" collapsed="false">
      <c r="A53" s="16" t="s">
        <v>5</v>
      </c>
      <c r="B53" s="17" t="n">
        <v>1</v>
      </c>
      <c r="C53" s="16" t="s">
        <v>10</v>
      </c>
      <c r="D53" s="16" t="s">
        <v>55</v>
      </c>
      <c r="E53" s="16" t="s">
        <v>59</v>
      </c>
      <c r="F53" s="18" t="s">
        <v>255</v>
      </c>
      <c r="G53" s="18" t="s">
        <v>256</v>
      </c>
      <c r="H53" s="16" t="s">
        <v>241</v>
      </c>
      <c r="I53" s="16" t="s">
        <v>257</v>
      </c>
    </row>
    <row r="54" customFormat="false" ht="17.15" hidden="false" customHeight="false" outlineLevel="0" collapsed="false">
      <c r="A54" s="16" t="s">
        <v>5</v>
      </c>
      <c r="B54" s="17" t="n">
        <v>1</v>
      </c>
      <c r="C54" s="16" t="s">
        <v>10</v>
      </c>
      <c r="D54" s="16" t="s">
        <v>55</v>
      </c>
      <c r="E54" s="16" t="s">
        <v>60</v>
      </c>
      <c r="F54" s="18" t="s">
        <v>258</v>
      </c>
      <c r="G54" s="18" t="s">
        <v>259</v>
      </c>
      <c r="H54" s="16" t="s">
        <v>241</v>
      </c>
      <c r="I54" s="16" t="s">
        <v>251</v>
      </c>
    </row>
    <row r="55" customFormat="false" ht="17.15" hidden="false" customHeight="false" outlineLevel="0" collapsed="false">
      <c r="A55" s="16" t="s">
        <v>5</v>
      </c>
      <c r="B55" s="17" t="n">
        <v>1</v>
      </c>
      <c r="C55" s="16" t="s">
        <v>10</v>
      </c>
      <c r="D55" s="16" t="s">
        <v>55</v>
      </c>
      <c r="E55" s="19" t="s">
        <v>61</v>
      </c>
      <c r="F55" s="18" t="s">
        <v>260</v>
      </c>
      <c r="G55" s="18" t="s">
        <v>261</v>
      </c>
      <c r="H55" s="16" t="s">
        <v>241</v>
      </c>
      <c r="I55" s="16" t="s">
        <v>262</v>
      </c>
    </row>
    <row r="56" customFormat="false" ht="17.15" hidden="false" customHeight="false" outlineLevel="0" collapsed="false">
      <c r="A56" s="16" t="s">
        <v>5</v>
      </c>
      <c r="B56" s="17" t="n">
        <v>3</v>
      </c>
      <c r="C56" s="16" t="s">
        <v>18</v>
      </c>
      <c r="D56" s="16" t="s">
        <v>55</v>
      </c>
      <c r="E56" s="16" t="s">
        <v>62</v>
      </c>
      <c r="F56" s="18" t="s">
        <v>263</v>
      </c>
      <c r="G56" s="18" t="s">
        <v>264</v>
      </c>
      <c r="H56" s="16" t="s">
        <v>241</v>
      </c>
      <c r="I56" s="16" t="s">
        <v>265</v>
      </c>
    </row>
    <row r="57" customFormat="false" ht="17.15" hidden="false" customHeight="false" outlineLevel="0" collapsed="false">
      <c r="A57" s="16" t="s">
        <v>5</v>
      </c>
      <c r="B57" s="17" t="n">
        <v>3</v>
      </c>
      <c r="C57" s="16" t="s">
        <v>18</v>
      </c>
      <c r="D57" s="16" t="s">
        <v>55</v>
      </c>
      <c r="E57" s="19" t="s">
        <v>64</v>
      </c>
      <c r="F57" s="18" t="s">
        <v>266</v>
      </c>
      <c r="G57" s="18" t="s">
        <v>267</v>
      </c>
      <c r="H57" s="16" t="s">
        <v>241</v>
      </c>
      <c r="I57" s="16" t="s">
        <v>268</v>
      </c>
    </row>
    <row r="58" customFormat="false" ht="17.15" hidden="false" customHeight="false" outlineLevel="0" collapsed="false">
      <c r="A58" s="16" t="s">
        <v>5</v>
      </c>
      <c r="B58" s="17" t="n">
        <v>3</v>
      </c>
      <c r="C58" s="16" t="s">
        <v>18</v>
      </c>
      <c r="D58" s="16" t="s">
        <v>55</v>
      </c>
      <c r="E58" s="16" t="s">
        <v>65</v>
      </c>
      <c r="F58" s="18" t="s">
        <v>269</v>
      </c>
      <c r="G58" s="18" t="s">
        <v>270</v>
      </c>
      <c r="H58" s="16" t="s">
        <v>241</v>
      </c>
      <c r="I58" s="16" t="s">
        <v>251</v>
      </c>
    </row>
    <row r="59" customFormat="false" ht="17.15" hidden="false" customHeight="false" outlineLevel="0" collapsed="false">
      <c r="A59" s="16" t="s">
        <v>5</v>
      </c>
      <c r="B59" s="17" t="n">
        <v>3</v>
      </c>
      <c r="C59" s="16" t="s">
        <v>18</v>
      </c>
      <c r="D59" s="16" t="s">
        <v>55</v>
      </c>
      <c r="E59" s="16" t="s">
        <v>66</v>
      </c>
      <c r="F59" s="18" t="s">
        <v>271</v>
      </c>
      <c r="G59" s="18" t="s">
        <v>272</v>
      </c>
      <c r="H59" s="16" t="s">
        <v>241</v>
      </c>
      <c r="I59" s="16" t="s">
        <v>265</v>
      </c>
    </row>
    <row r="60" customFormat="false" ht="17.15" hidden="false" customHeight="false" outlineLevel="0" collapsed="false">
      <c r="A60" s="16" t="s">
        <v>5</v>
      </c>
      <c r="B60" s="17" t="n">
        <v>4</v>
      </c>
      <c r="C60" s="16" t="s">
        <v>22</v>
      </c>
      <c r="D60" s="16" t="s">
        <v>67</v>
      </c>
      <c r="E60" s="16" t="s">
        <v>68</v>
      </c>
      <c r="F60" s="18" t="s">
        <v>273</v>
      </c>
      <c r="G60" s="18" t="s">
        <v>274</v>
      </c>
      <c r="H60" s="16" t="s">
        <v>241</v>
      </c>
      <c r="I60" s="19" t="s">
        <v>275</v>
      </c>
    </row>
    <row r="61" customFormat="false" ht="17.15" hidden="false" customHeight="false" outlineLevel="0" collapsed="false">
      <c r="A61" s="16" t="s">
        <v>5</v>
      </c>
      <c r="B61" s="17" t="n">
        <v>4</v>
      </c>
      <c r="C61" s="16" t="s">
        <v>22</v>
      </c>
      <c r="D61" s="16" t="s">
        <v>67</v>
      </c>
      <c r="E61" s="19" t="s">
        <v>70</v>
      </c>
      <c r="F61" s="18" t="s">
        <v>276</v>
      </c>
      <c r="G61" s="18" t="s">
        <v>277</v>
      </c>
      <c r="H61" s="16" t="s">
        <v>241</v>
      </c>
      <c r="I61" s="19" t="s">
        <v>278</v>
      </c>
    </row>
    <row r="62" customFormat="false" ht="17.15" hidden="false" customHeight="false" outlineLevel="0" collapsed="false">
      <c r="A62" s="16" t="s">
        <v>5</v>
      </c>
      <c r="B62" s="17" t="n">
        <v>4</v>
      </c>
      <c r="C62" s="16" t="s">
        <v>22</v>
      </c>
      <c r="D62" s="16" t="s">
        <v>67</v>
      </c>
      <c r="E62" s="16" t="s">
        <v>71</v>
      </c>
      <c r="F62" s="18" t="s">
        <v>279</v>
      </c>
      <c r="G62" s="18" t="s">
        <v>280</v>
      </c>
      <c r="H62" s="16" t="s">
        <v>241</v>
      </c>
      <c r="I62" s="19" t="s">
        <v>281</v>
      </c>
    </row>
    <row r="63" customFormat="false" ht="17.15" hidden="false" customHeight="false" outlineLevel="0" collapsed="false">
      <c r="A63" s="16" t="s">
        <v>5</v>
      </c>
      <c r="B63" s="17" t="n">
        <v>4</v>
      </c>
      <c r="C63" s="16" t="s">
        <v>22</v>
      </c>
      <c r="D63" s="16" t="s">
        <v>67</v>
      </c>
      <c r="E63" s="16" t="s">
        <v>72</v>
      </c>
      <c r="F63" s="18" t="s">
        <v>282</v>
      </c>
      <c r="G63" s="18" t="s">
        <v>283</v>
      </c>
      <c r="H63" s="16" t="s">
        <v>241</v>
      </c>
      <c r="I63" s="19" t="s">
        <v>284</v>
      </c>
    </row>
    <row r="64" customFormat="false" ht="17.15" hidden="false" customHeight="false" outlineLevel="0" collapsed="false">
      <c r="A64" s="16" t="s">
        <v>5</v>
      </c>
      <c r="B64" s="17" t="n">
        <v>5</v>
      </c>
      <c r="C64" s="16" t="s">
        <v>26</v>
      </c>
      <c r="D64" s="16" t="s">
        <v>55</v>
      </c>
      <c r="E64" s="16" t="s">
        <v>73</v>
      </c>
      <c r="F64" s="18" t="s">
        <v>285</v>
      </c>
      <c r="G64" s="18" t="s">
        <v>286</v>
      </c>
      <c r="H64" s="16" t="s">
        <v>241</v>
      </c>
      <c r="I64" s="16" t="s">
        <v>287</v>
      </c>
    </row>
    <row r="65" customFormat="false" ht="17.15" hidden="false" customHeight="false" outlineLevel="0" collapsed="false">
      <c r="A65" s="16" t="s">
        <v>5</v>
      </c>
      <c r="B65" s="17" t="n">
        <v>5</v>
      </c>
      <c r="C65" s="16" t="s">
        <v>26</v>
      </c>
      <c r="D65" s="16" t="s">
        <v>67</v>
      </c>
      <c r="E65" s="16" t="s">
        <v>75</v>
      </c>
      <c r="F65" s="18" t="s">
        <v>288</v>
      </c>
      <c r="G65" s="18" t="s">
        <v>289</v>
      </c>
      <c r="H65" s="16" t="s">
        <v>241</v>
      </c>
      <c r="I65" s="19" t="s">
        <v>290</v>
      </c>
    </row>
    <row r="66" customFormat="false" ht="17.15" hidden="false" customHeight="false" outlineLevel="0" collapsed="false">
      <c r="A66" s="16" t="s">
        <v>5</v>
      </c>
      <c r="B66" s="17" t="n">
        <v>5</v>
      </c>
      <c r="C66" s="16" t="s">
        <v>26</v>
      </c>
      <c r="D66" s="16" t="s">
        <v>67</v>
      </c>
      <c r="E66" s="16" t="s">
        <v>76</v>
      </c>
      <c r="F66" s="18" t="s">
        <v>291</v>
      </c>
      <c r="G66" s="18" t="s">
        <v>292</v>
      </c>
      <c r="H66" s="16" t="s">
        <v>241</v>
      </c>
      <c r="I66" s="19" t="s">
        <v>293</v>
      </c>
    </row>
    <row r="67" customFormat="false" ht="17.15" hidden="false" customHeight="false" outlineLevel="0" collapsed="false">
      <c r="A67" s="16" t="s">
        <v>5</v>
      </c>
      <c r="B67" s="17" t="n">
        <v>5</v>
      </c>
      <c r="C67" s="16" t="s">
        <v>26</v>
      </c>
      <c r="D67" s="16" t="s">
        <v>164</v>
      </c>
      <c r="E67" s="16" t="s">
        <v>294</v>
      </c>
      <c r="F67" s="18" t="s">
        <v>295</v>
      </c>
      <c r="G67" s="18" t="s">
        <v>296</v>
      </c>
      <c r="H67" s="16" t="s">
        <v>167</v>
      </c>
      <c r="I67" s="16" t="s">
        <v>297</v>
      </c>
    </row>
    <row r="68" customFormat="false" ht="17.15" hidden="false" customHeight="false" outlineLevel="0" collapsed="false">
      <c r="A68" s="16" t="s">
        <v>5</v>
      </c>
      <c r="B68" s="17" t="n">
        <v>6</v>
      </c>
      <c r="C68" s="16" t="s">
        <v>30</v>
      </c>
      <c r="D68" s="16" t="s">
        <v>164</v>
      </c>
      <c r="E68" s="16" t="s">
        <v>32</v>
      </c>
      <c r="F68" s="18" t="s">
        <v>298</v>
      </c>
      <c r="G68" s="18" t="s">
        <v>299</v>
      </c>
      <c r="H68" s="16" t="s">
        <v>167</v>
      </c>
      <c r="I68" s="16" t="s">
        <v>300</v>
      </c>
    </row>
    <row r="69" customFormat="false" ht="17.15" hidden="false" customHeight="false" outlineLevel="0" collapsed="false">
      <c r="A69" s="16" t="s">
        <v>5</v>
      </c>
      <c r="B69" s="17" t="n">
        <v>8</v>
      </c>
      <c r="C69" s="16" t="s">
        <v>37</v>
      </c>
      <c r="D69" s="16" t="s">
        <v>77</v>
      </c>
      <c r="E69" s="16" t="s">
        <v>78</v>
      </c>
      <c r="F69" s="18" t="s">
        <v>301</v>
      </c>
      <c r="G69" s="18" t="s">
        <v>302</v>
      </c>
      <c r="H69" s="16" t="s">
        <v>241</v>
      </c>
      <c r="I69" s="16" t="s">
        <v>303</v>
      </c>
    </row>
    <row r="70" customFormat="false" ht="17.15" hidden="false" customHeight="false" outlineLevel="0" collapsed="false">
      <c r="A70" s="16" t="s">
        <v>5</v>
      </c>
      <c r="B70" s="17" t="n">
        <v>8</v>
      </c>
      <c r="C70" s="16" t="s">
        <v>37</v>
      </c>
      <c r="D70" s="16" t="s">
        <v>164</v>
      </c>
      <c r="E70" s="19" t="s">
        <v>304</v>
      </c>
      <c r="F70" s="18" t="s">
        <v>305</v>
      </c>
      <c r="G70" s="18" t="s">
        <v>306</v>
      </c>
      <c r="H70" s="16" t="s">
        <v>167</v>
      </c>
      <c r="I70" s="16" t="s">
        <v>307</v>
      </c>
    </row>
    <row r="71" customFormat="false" ht="17.15" hidden="false" customHeight="false" outlineLevel="0" collapsed="false">
      <c r="A71" s="16" t="s">
        <v>6</v>
      </c>
      <c r="B71" s="17" t="n">
        <v>1</v>
      </c>
      <c r="C71" s="16" t="s">
        <v>10</v>
      </c>
      <c r="D71" s="16" t="s">
        <v>79</v>
      </c>
      <c r="E71" s="16" t="s">
        <v>80</v>
      </c>
      <c r="F71" s="18" t="s">
        <v>308</v>
      </c>
      <c r="G71" s="18" t="s">
        <v>309</v>
      </c>
      <c r="H71" s="16" t="s">
        <v>241</v>
      </c>
      <c r="I71" s="16" t="s">
        <v>310</v>
      </c>
    </row>
    <row r="72" customFormat="false" ht="17.15" hidden="false" customHeight="false" outlineLevel="0" collapsed="false">
      <c r="A72" s="16" t="s">
        <v>6</v>
      </c>
      <c r="B72" s="17" t="n">
        <v>1</v>
      </c>
      <c r="C72" s="16" t="s">
        <v>10</v>
      </c>
      <c r="D72" s="16" t="s">
        <v>164</v>
      </c>
      <c r="E72" s="16" t="s">
        <v>311</v>
      </c>
      <c r="F72" s="18" t="s">
        <v>312</v>
      </c>
      <c r="G72" s="18" t="s">
        <v>313</v>
      </c>
      <c r="H72" s="16" t="s">
        <v>167</v>
      </c>
      <c r="I72" s="16" t="s">
        <v>314</v>
      </c>
    </row>
    <row r="73" customFormat="false" ht="17.15" hidden="false" customHeight="false" outlineLevel="0" collapsed="false">
      <c r="A73" s="16" t="s">
        <v>6</v>
      </c>
      <c r="B73" s="17" t="n">
        <v>2</v>
      </c>
      <c r="C73" s="16" t="s">
        <v>14</v>
      </c>
      <c r="D73" s="16" t="s">
        <v>79</v>
      </c>
      <c r="E73" s="16" t="s">
        <v>81</v>
      </c>
      <c r="F73" s="18" t="s">
        <v>315</v>
      </c>
      <c r="G73" s="18" t="s">
        <v>316</v>
      </c>
      <c r="H73" s="16" t="s">
        <v>241</v>
      </c>
      <c r="I73" s="16" t="s">
        <v>317</v>
      </c>
    </row>
    <row r="74" customFormat="false" ht="17.15" hidden="false" customHeight="false" outlineLevel="0" collapsed="false">
      <c r="A74" s="16" t="s">
        <v>6</v>
      </c>
      <c r="B74" s="17" t="n">
        <v>2</v>
      </c>
      <c r="C74" s="16" t="s">
        <v>14</v>
      </c>
      <c r="D74" s="16" t="s">
        <v>79</v>
      </c>
      <c r="E74" s="16" t="s">
        <v>83</v>
      </c>
      <c r="F74" s="18" t="s">
        <v>318</v>
      </c>
      <c r="G74" s="18" t="s">
        <v>319</v>
      </c>
      <c r="H74" s="16" t="s">
        <v>241</v>
      </c>
      <c r="I74" s="16" t="s">
        <v>320</v>
      </c>
    </row>
    <row r="75" customFormat="false" ht="17.15" hidden="false" customHeight="false" outlineLevel="0" collapsed="false">
      <c r="A75" s="16" t="s">
        <v>6</v>
      </c>
      <c r="B75" s="17" t="n">
        <v>2</v>
      </c>
      <c r="C75" s="16" t="s">
        <v>14</v>
      </c>
      <c r="D75" s="16" t="s">
        <v>79</v>
      </c>
      <c r="E75" s="16" t="s">
        <v>84</v>
      </c>
      <c r="F75" s="18" t="s">
        <v>321</v>
      </c>
      <c r="G75" s="18" t="s">
        <v>322</v>
      </c>
      <c r="H75" s="16" t="s">
        <v>241</v>
      </c>
      <c r="I75" s="16" t="s">
        <v>320</v>
      </c>
    </row>
    <row r="76" customFormat="false" ht="17.15" hidden="false" customHeight="false" outlineLevel="0" collapsed="false">
      <c r="A76" s="16" t="s">
        <v>6</v>
      </c>
      <c r="B76" s="17" t="n">
        <v>2</v>
      </c>
      <c r="C76" s="16" t="s">
        <v>14</v>
      </c>
      <c r="D76" s="16" t="s">
        <v>79</v>
      </c>
      <c r="E76" s="16" t="s">
        <v>85</v>
      </c>
      <c r="F76" s="18" t="s">
        <v>323</v>
      </c>
      <c r="G76" s="18" t="s">
        <v>324</v>
      </c>
      <c r="H76" s="16" t="s">
        <v>241</v>
      </c>
      <c r="I76" s="16" t="s">
        <v>325</v>
      </c>
    </row>
    <row r="77" customFormat="false" ht="17.15" hidden="false" customHeight="false" outlineLevel="0" collapsed="false">
      <c r="A77" s="16" t="s">
        <v>6</v>
      </c>
      <c r="B77" s="17" t="n">
        <v>2</v>
      </c>
      <c r="C77" s="16" t="s">
        <v>14</v>
      </c>
      <c r="D77" s="16" t="s">
        <v>79</v>
      </c>
      <c r="E77" s="19" t="s">
        <v>86</v>
      </c>
      <c r="F77" s="18" t="s">
        <v>326</v>
      </c>
      <c r="G77" s="18" t="s">
        <v>327</v>
      </c>
      <c r="H77" s="16" t="s">
        <v>241</v>
      </c>
      <c r="I77" s="16" t="s">
        <v>320</v>
      </c>
    </row>
    <row r="78" customFormat="false" ht="17.15" hidden="false" customHeight="false" outlineLevel="0" collapsed="false">
      <c r="A78" s="16" t="s">
        <v>6</v>
      </c>
      <c r="B78" s="17" t="n">
        <v>2</v>
      </c>
      <c r="C78" s="16" t="s">
        <v>14</v>
      </c>
      <c r="D78" s="16" t="s">
        <v>79</v>
      </c>
      <c r="E78" s="16" t="s">
        <v>87</v>
      </c>
      <c r="F78" s="18" t="s">
        <v>328</v>
      </c>
      <c r="G78" s="18" t="s">
        <v>329</v>
      </c>
      <c r="H78" s="16" t="s">
        <v>241</v>
      </c>
      <c r="I78" s="16" t="s">
        <v>317</v>
      </c>
    </row>
    <row r="79" customFormat="false" ht="17.15" hidden="false" customHeight="false" outlineLevel="0" collapsed="false">
      <c r="A79" s="16" t="s">
        <v>6</v>
      </c>
      <c r="B79" s="17" t="n">
        <v>3</v>
      </c>
      <c r="C79" s="16" t="s">
        <v>18</v>
      </c>
      <c r="D79" s="16" t="s">
        <v>164</v>
      </c>
      <c r="E79" s="19" t="s">
        <v>21</v>
      </c>
      <c r="F79" s="18" t="s">
        <v>330</v>
      </c>
      <c r="G79" s="18" t="s">
        <v>331</v>
      </c>
      <c r="H79" s="16" t="s">
        <v>167</v>
      </c>
      <c r="I79" s="16" t="s">
        <v>332</v>
      </c>
    </row>
    <row r="80" customFormat="false" ht="17.15" hidden="false" customHeight="false" outlineLevel="0" collapsed="false">
      <c r="A80" s="16" t="s">
        <v>6</v>
      </c>
      <c r="B80" s="17" t="n">
        <v>4</v>
      </c>
      <c r="C80" s="16" t="s">
        <v>22</v>
      </c>
      <c r="D80" s="16" t="s">
        <v>164</v>
      </c>
      <c r="E80" s="19" t="s">
        <v>333</v>
      </c>
      <c r="F80" s="18" t="s">
        <v>334</v>
      </c>
      <c r="G80" s="18" t="s">
        <v>335</v>
      </c>
      <c r="H80" s="16" t="s">
        <v>167</v>
      </c>
      <c r="I80" s="16" t="s">
        <v>336</v>
      </c>
    </row>
    <row r="81" customFormat="false" ht="17.15" hidden="false" customHeight="false" outlineLevel="0" collapsed="false">
      <c r="A81" s="16" t="s">
        <v>6</v>
      </c>
      <c r="B81" s="17" t="n">
        <v>4</v>
      </c>
      <c r="C81" s="16" t="s">
        <v>22</v>
      </c>
      <c r="D81" s="16" t="s">
        <v>164</v>
      </c>
      <c r="E81" s="19" t="s">
        <v>337</v>
      </c>
      <c r="F81" s="18" t="s">
        <v>338</v>
      </c>
      <c r="G81" s="18" t="s">
        <v>339</v>
      </c>
      <c r="H81" s="16" t="s">
        <v>167</v>
      </c>
      <c r="I81" s="16" t="s">
        <v>340</v>
      </c>
    </row>
    <row r="82" customFormat="false" ht="17.15" hidden="false" customHeight="false" outlineLevel="0" collapsed="false">
      <c r="A82" s="16" t="s">
        <v>6</v>
      </c>
      <c r="B82" s="17" t="n">
        <v>4</v>
      </c>
      <c r="C82" s="16" t="s">
        <v>22</v>
      </c>
      <c r="D82" s="16" t="s">
        <v>164</v>
      </c>
      <c r="E82" s="16" t="s">
        <v>341</v>
      </c>
      <c r="F82" s="18" t="s">
        <v>342</v>
      </c>
      <c r="G82" s="18" t="s">
        <v>343</v>
      </c>
      <c r="H82" s="16" t="s">
        <v>167</v>
      </c>
      <c r="I82" s="16" t="s">
        <v>344</v>
      </c>
    </row>
    <row r="83" customFormat="false" ht="17.15" hidden="false" customHeight="false" outlineLevel="0" collapsed="false">
      <c r="A83" s="16" t="s">
        <v>6</v>
      </c>
      <c r="B83" s="17" t="n">
        <v>5</v>
      </c>
      <c r="C83" s="16" t="s">
        <v>26</v>
      </c>
      <c r="D83" s="16" t="s">
        <v>164</v>
      </c>
      <c r="E83" s="16" t="s">
        <v>345</v>
      </c>
      <c r="F83" s="18" t="s">
        <v>346</v>
      </c>
      <c r="G83" s="18" t="s">
        <v>347</v>
      </c>
      <c r="H83" s="16" t="s">
        <v>167</v>
      </c>
      <c r="I83" s="16" t="s">
        <v>348</v>
      </c>
    </row>
    <row r="84" customFormat="false" ht="17.15" hidden="false" customHeight="false" outlineLevel="0" collapsed="false">
      <c r="A84" s="16" t="s">
        <v>6</v>
      </c>
      <c r="B84" s="17" t="n">
        <v>5</v>
      </c>
      <c r="C84" s="16" t="s">
        <v>26</v>
      </c>
      <c r="D84" s="16" t="s">
        <v>164</v>
      </c>
      <c r="E84" s="19" t="s">
        <v>349</v>
      </c>
      <c r="F84" s="18" t="s">
        <v>350</v>
      </c>
      <c r="G84" s="18" t="s">
        <v>351</v>
      </c>
      <c r="H84" s="16" t="s">
        <v>167</v>
      </c>
      <c r="I84" s="16" t="s">
        <v>352</v>
      </c>
    </row>
    <row r="85" customFormat="false" ht="17.15" hidden="false" customHeight="false" outlineLevel="0" collapsed="false">
      <c r="A85" s="16" t="s">
        <v>6</v>
      </c>
      <c r="B85" s="17" t="n">
        <v>6</v>
      </c>
      <c r="C85" s="16" t="s">
        <v>30</v>
      </c>
      <c r="D85" s="16" t="s">
        <v>164</v>
      </c>
      <c r="E85" s="16" t="s">
        <v>33</v>
      </c>
      <c r="F85" s="18" t="s">
        <v>353</v>
      </c>
      <c r="G85" s="18" t="s">
        <v>354</v>
      </c>
      <c r="H85" s="16" t="s">
        <v>167</v>
      </c>
      <c r="I85" s="16" t="s">
        <v>355</v>
      </c>
    </row>
    <row r="86" customFormat="false" ht="17.15" hidden="false" customHeight="false" outlineLevel="0" collapsed="false">
      <c r="A86" s="16" t="s">
        <v>6</v>
      </c>
      <c r="B86" s="17" t="n">
        <v>7</v>
      </c>
      <c r="C86" s="16" t="s">
        <v>34</v>
      </c>
      <c r="D86" s="16" t="s">
        <v>164</v>
      </c>
      <c r="E86" s="16" t="s">
        <v>36</v>
      </c>
      <c r="F86" s="18" t="s">
        <v>356</v>
      </c>
      <c r="G86" s="18" t="s">
        <v>357</v>
      </c>
      <c r="H86" s="16" t="s">
        <v>167</v>
      </c>
      <c r="I86" s="16" t="s">
        <v>358</v>
      </c>
    </row>
    <row r="87" customFormat="false" ht="17.15" hidden="false" customHeight="false" outlineLevel="0" collapsed="false">
      <c r="A87" s="16" t="s">
        <v>6</v>
      </c>
      <c r="B87" s="17" t="n">
        <v>8</v>
      </c>
      <c r="C87" s="16" t="s">
        <v>37</v>
      </c>
      <c r="D87" s="16" t="s">
        <v>88</v>
      </c>
      <c r="E87" s="16" t="s">
        <v>89</v>
      </c>
      <c r="F87" s="18" t="s">
        <v>359</v>
      </c>
      <c r="G87" s="18" t="s">
        <v>360</v>
      </c>
      <c r="H87" s="16" t="s">
        <v>241</v>
      </c>
      <c r="I87" s="16" t="s">
        <v>320</v>
      </c>
    </row>
    <row r="88" customFormat="false" ht="17.15" hidden="false" customHeight="false" outlineLevel="0" collapsed="false">
      <c r="A88" s="16" t="s">
        <v>6</v>
      </c>
      <c r="B88" s="17" t="n">
        <v>8</v>
      </c>
      <c r="C88" s="16" t="s">
        <v>37</v>
      </c>
      <c r="D88" s="16" t="s">
        <v>88</v>
      </c>
      <c r="E88" s="16" t="s">
        <v>90</v>
      </c>
      <c r="F88" s="18" t="s">
        <v>361</v>
      </c>
      <c r="G88" s="18" t="s">
        <v>362</v>
      </c>
      <c r="H88" s="16" t="s">
        <v>241</v>
      </c>
      <c r="I88" s="16" t="s">
        <v>320</v>
      </c>
    </row>
    <row r="89" customFormat="false" ht="17.15" hidden="false" customHeight="false" outlineLevel="0" collapsed="false">
      <c r="A89" s="16" t="s">
        <v>6</v>
      </c>
      <c r="B89" s="17" t="n">
        <v>8</v>
      </c>
      <c r="C89" s="16" t="s">
        <v>37</v>
      </c>
      <c r="D89" s="16" t="s">
        <v>164</v>
      </c>
      <c r="E89" s="16" t="s">
        <v>363</v>
      </c>
      <c r="F89" s="18" t="s">
        <v>364</v>
      </c>
      <c r="G89" s="18" t="s">
        <v>365</v>
      </c>
      <c r="H89" s="16" t="s">
        <v>167</v>
      </c>
      <c r="I89" s="16" t="s">
        <v>366</v>
      </c>
    </row>
  </sheetData>
  <autoFilter ref="A1:I89"/>
  <conditionalFormatting sqref="A2:I89">
    <cfRule type="expression" priority="2" aboveAverage="0" equalAverage="0" bottom="0" percent="0" rank="0" text="" dxfId="6">
      <formula>$H2="구간 이동"</formula>
    </cfRule>
    <cfRule type="expression" priority="3" aboveAverage="0" equalAverage="0" bottom="0" percent="0" rank="0" text="" dxfId="7">
      <formula>$H2="추가"</formula>
    </cfRule>
    <cfRule type="expression" priority="4" aboveAverage="0" equalAverage="0" bottom="0" percent="0" rank="0" text="" dxfId="8">
      <formula>$H2="신규"</formula>
    </cfRule>
    <cfRule type="expression" priority="5" aboveAverage="0" equalAverage="0" bottom="0" percent="0" rank="0" text="" dxfId="9">
      <formula>$H2="탭 밖 이동"</formula>
    </cfRule>
  </conditionalFormatting>
  <dataValidations count="1">
    <dataValidation allowBlank="false" errorStyle="stop" operator="between" showDropDown="false" showErrorMessage="false" showInputMessage="false" sqref="H2:H89" type="list">
      <formula1>"유지,구간 이동,추가,신규,탭 밖 이동"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2026-10-16T15:36:47Z</dcterms:created>
  <dc:creator>openpyxl</dc:creator>
  <dc:description/>
  <dc:language>en-US</dc:language>
  <cp:lastModifiedBy/>
  <dcterms:modified xsi:type="dcterms:W3CDTF">2026-10-16T15:36:47Z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