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구간 표준" sheetId="1" state="visible" r:id="rId3"/>
    <sheet name="원래 그룹 정리" sheetId="2" state="visible" r:id="rId4"/>
    <sheet name="확인 필요" sheetId="3" state="visible" r:id="rId5"/>
    <sheet name="종목 목록" sheetId="4" state="visible" r:id="rId6"/>
  </sheets>
  <definedNames>
    <definedName function="false" hidden="true" localSheetId="3" name="_xlnm._FilterDatabase" vbProcedure="false">'종목 목록'!$A$1:$I$86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<sst xmlns="http://schemas.openxmlformats.org/spreadsheetml/2006/main" count="912" uniqueCount="347">
  <si>
    <r>
      <rPr>
        <b val="true"/>
        <sz val="14"/>
        <rFont val="Arial"/>
        <family val="0"/>
        <charset val="1"/>
      </rPr>
      <t xml:space="preserve">09 SW·</t>
    </r>
    <r>
      <rPr>
        <b val="true"/>
        <sz val="14"/>
        <rFont val="Noto Sans CJK SC"/>
        <family val="2"/>
      </rPr>
      <t xml:space="preserve">게임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보안 구간 표준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국장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미장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일장 공통 순서</t>
    </r>
    <r>
      <rPr>
        <b val="true"/>
        <sz val="14"/>
        <rFont val="Arial"/>
        <family val="0"/>
        <charset val="1"/>
      </rPr>
      <t xml:space="preserve">)</t>
    </r>
  </si>
  <si>
    <r>
      <rPr>
        <i val="true"/>
        <sz val="9"/>
        <color rgb="FF666666"/>
        <rFont val="Noto Sans CJK SC"/>
        <family val="2"/>
      </rPr>
      <t xml:space="preserve">종목 수는 </t>
    </r>
    <r>
      <rPr>
        <i val="true"/>
        <sz val="9"/>
        <color rgb="FF666666"/>
        <rFont val="Arial"/>
        <family val="0"/>
        <charset val="1"/>
      </rPr>
      <t xml:space="preserve">'</t>
    </r>
    <r>
      <rPr>
        <i val="true"/>
        <sz val="9"/>
        <color rgb="FF666666"/>
        <rFont val="Noto Sans CJK SC"/>
        <family val="2"/>
      </rPr>
      <t xml:space="preserve">종목 목록</t>
    </r>
    <r>
      <rPr>
        <i val="true"/>
        <sz val="9"/>
        <color rgb="FF666666"/>
        <rFont val="Arial"/>
        <family val="0"/>
        <charset val="1"/>
      </rPr>
      <t xml:space="preserve">' </t>
    </r>
    <r>
      <rPr>
        <i val="true"/>
        <sz val="9"/>
        <color rgb="FF666666"/>
        <rFont val="Noto Sans CJK SC"/>
        <family val="2"/>
      </rPr>
      <t xml:space="preserve">시트에서 자동 집계</t>
    </r>
    <r>
      <rPr>
        <i val="true"/>
        <sz val="9"/>
        <color rgb="FF666666"/>
        <rFont val="Arial"/>
        <family val="0"/>
        <charset val="1"/>
      </rPr>
      <t xml:space="preserve">("</t>
    </r>
    <r>
      <rPr>
        <i val="true"/>
        <sz val="9"/>
        <color rgb="FF666666"/>
        <rFont val="Noto Sans CJK SC"/>
        <family val="2"/>
      </rPr>
      <t xml:space="preserve">탭 밖 이동</t>
    </r>
    <r>
      <rPr>
        <i val="true"/>
        <sz val="9"/>
        <color rgb="FF666666"/>
        <rFont val="Arial"/>
        <family val="0"/>
        <charset val="1"/>
      </rPr>
      <t xml:space="preserve">" </t>
    </r>
    <r>
      <rPr>
        <i val="true"/>
        <sz val="9"/>
        <color rgb="FF666666"/>
        <rFont val="Noto Sans CJK SC"/>
        <family val="2"/>
      </rPr>
      <t xml:space="preserve">제외</t>
    </r>
    <r>
      <rPr>
        <i val="true"/>
        <sz val="9"/>
        <color rgb="FF666666"/>
        <rFont val="Arial"/>
        <family val="0"/>
        <charset val="1"/>
      </rPr>
      <t xml:space="preserve">). </t>
    </r>
    <r>
      <rPr>
        <i val="true"/>
        <sz val="9"/>
        <color rgb="FF666666"/>
        <rFont val="Noto Sans CJK SC"/>
        <family val="2"/>
      </rPr>
      <t xml:space="preserve">신규 종목은 종목 목록 시트에 파란색으로 표시</t>
    </r>
    <r>
      <rPr>
        <i val="true"/>
        <sz val="9"/>
        <color rgb="FF666666"/>
        <rFont val="Arial"/>
        <family val="0"/>
        <charset val="1"/>
      </rPr>
      <t xml:space="preserve">.</t>
    </r>
  </si>
  <si>
    <t xml:space="preserve">순서</t>
  </si>
  <si>
    <t xml:space="preserve">표준 구간</t>
  </si>
  <si>
    <t xml:space="preserve">국장</t>
  </si>
  <si>
    <t xml:space="preserve">미장</t>
  </si>
  <si>
    <t xml:space="preserve">일장</t>
  </si>
  <si>
    <t xml:space="preserve">국장 종목</t>
  </si>
  <si>
    <t xml:space="preserve">미장 종목</t>
  </si>
  <si>
    <t xml:space="preserve">일장 종목</t>
  </si>
  <si>
    <t xml:space="preserve">플랫폼</t>
  </si>
  <si>
    <r>
      <rPr>
        <sz val="11"/>
        <rFont val="Arial"/>
        <family val="0"/>
        <charset val="1"/>
      </rPr>
      <t xml:space="preserve">NAVER, </t>
    </r>
    <r>
      <rPr>
        <sz val="11"/>
        <rFont val="Noto Sans CJK SC"/>
        <family val="2"/>
      </rPr>
      <t xml:space="preserve">카카오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사람인</t>
    </r>
  </si>
  <si>
    <r>
      <rPr>
        <sz val="11"/>
        <rFont val="Noto Sans CJK SC"/>
        <family val="2"/>
      </rPr>
      <t xml:space="preserve">아마존닷컴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마이크로소프트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알파벳 </t>
    </r>
    <r>
      <rPr>
        <sz val="11"/>
        <rFont val="Arial"/>
        <family val="0"/>
        <charset val="1"/>
      </rPr>
      <t xml:space="preserve">A, </t>
    </r>
    <r>
      <rPr>
        <sz val="11"/>
        <rFont val="Noto Sans CJK SC"/>
        <family val="2"/>
      </rPr>
      <t xml:space="preserve">메타 플랫폼스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페이스북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</si>
  <si>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리크루트홀딩스</t>
    </r>
    <r>
      <rPr>
        <sz val="11"/>
        <rFont val="Arial"/>
        <family val="0"/>
        <charset val="1"/>
      </rPr>
      <t xml:space="preserve">, LY</t>
    </r>
    <r>
      <rPr>
        <sz val="11"/>
        <rFont val="Noto Sans CJK SC"/>
        <family val="2"/>
      </rPr>
      <t xml:space="preserve">코퍼레이션</t>
    </r>
  </si>
  <si>
    <r>
      <rPr>
        <sz val="11"/>
        <rFont val="Arial"/>
        <family val="0"/>
        <charset val="1"/>
      </rPr>
      <t xml:space="preserve">SaaS IT</t>
    </r>
    <r>
      <rPr>
        <sz val="11"/>
        <rFont val="Noto Sans CJK SC"/>
        <family val="2"/>
      </rPr>
      <t xml:space="preserve">서비스</t>
    </r>
  </si>
  <si>
    <r>
      <rPr>
        <sz val="11"/>
        <rFont val="Noto Sans CJK SC"/>
        <family val="2"/>
      </rPr>
      <t xml:space="preserve">삼성에스디에스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가비아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케이아이엔엑스</t>
    </r>
  </si>
  <si>
    <r>
      <rPr>
        <sz val="11"/>
        <rFont val="Noto Sans CJK SC"/>
        <family val="2"/>
      </rPr>
      <t xml:space="preserve">브로드리지 파이낸셜 솔루션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피그마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서비스나우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워크데이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세일스포스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인튜이트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데이터도그</t>
    </r>
  </si>
  <si>
    <r>
      <rPr>
        <sz val="11"/>
        <rFont val="Arial"/>
        <family val="0"/>
        <charset val="1"/>
      </rPr>
      <t xml:space="preserve">NEC, </t>
    </r>
    <r>
      <rPr>
        <sz val="11"/>
        <rFont val="Noto Sans CJK SC"/>
        <family val="2"/>
      </rPr>
      <t xml:space="preserve">후지쯔</t>
    </r>
  </si>
  <si>
    <r>
      <rPr>
        <sz val="11"/>
        <rFont val="Arial"/>
        <family val="0"/>
        <charset val="1"/>
      </rPr>
      <t xml:space="preserve">AI </t>
    </r>
    <r>
      <rPr>
        <sz val="11"/>
        <rFont val="Noto Sans CJK SC"/>
        <family val="2"/>
      </rPr>
      <t xml:space="preserve">소프트웨어</t>
    </r>
  </si>
  <si>
    <r>
      <rPr>
        <sz val="11"/>
        <rFont val="Noto Sans CJK SC"/>
        <family val="2"/>
      </rPr>
      <t xml:space="preserve">솔트룩스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코난테크놀로지</t>
    </r>
  </si>
  <si>
    <r>
      <rPr>
        <sz val="11"/>
        <rFont val="Noto Sans CJK SC"/>
        <family val="2"/>
      </rPr>
      <t xml:space="preserve">오라클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팔란티어 테크</t>
    </r>
  </si>
  <si>
    <t xml:space="preserve">사쿠라인터넷</t>
  </si>
  <si>
    <t xml:space="preserve">보안</t>
  </si>
  <si>
    <r>
      <rPr>
        <sz val="11"/>
        <rFont val="Noto Sans CJK SC"/>
        <family val="2"/>
      </rPr>
      <t xml:space="preserve">윈스테크넷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안랩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엑스게이트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한국정보통신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파수</t>
    </r>
    <r>
      <rPr>
        <sz val="11"/>
        <rFont val="Arial"/>
        <family val="0"/>
        <charset val="1"/>
      </rPr>
      <t xml:space="preserve">AI, </t>
    </r>
    <r>
      <rPr>
        <sz val="11"/>
        <rFont val="Noto Sans CJK SC"/>
        <family val="2"/>
      </rPr>
      <t xml:space="preserve">에스투더블유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드림시큐리티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라온시큐어</t>
    </r>
  </si>
  <si>
    <r>
      <rPr>
        <sz val="11"/>
        <rFont val="Noto Sans CJK SC"/>
        <family val="2"/>
      </rPr>
      <t xml:space="preserve">크라우드스트라이크 홀딩스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팰로 앨토 네트웍스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옥타</t>
    </r>
  </si>
  <si>
    <t xml:space="preserve">트렌드마이크로</t>
  </si>
  <si>
    <t xml:space="preserve">양자</t>
  </si>
  <si>
    <r>
      <rPr>
        <sz val="11"/>
        <rFont val="Noto Sans CJK SC"/>
        <family val="2"/>
      </rPr>
      <t xml:space="preserve">아이씨티케이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옵티시스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우리넷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우리로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코위버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쏠리드</t>
    </r>
  </si>
  <si>
    <r>
      <rPr>
        <sz val="11"/>
        <rFont val="Noto Sans CJK SC"/>
        <family val="2"/>
      </rPr>
      <t xml:space="preserve">아이온큐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실</t>
    </r>
    <r>
      <rPr>
        <sz val="11"/>
        <rFont val="Arial"/>
        <family val="0"/>
        <charset val="1"/>
      </rPr>
      <t xml:space="preserve">SQ, </t>
    </r>
    <r>
      <rPr>
        <sz val="11"/>
        <rFont val="Noto Sans CJK SC"/>
        <family val="2"/>
      </rPr>
      <t xml:space="preserve">리게티 컴퓨팅</t>
    </r>
    <r>
      <rPr>
        <sz val="11"/>
        <rFont val="Arial"/>
        <family val="0"/>
        <charset val="1"/>
      </rPr>
      <t xml:space="preserve">, DEFIANCE QUANTUM, </t>
    </r>
    <r>
      <rPr>
        <sz val="11"/>
        <rFont val="Noto Sans CJK SC"/>
        <family val="2"/>
      </rPr>
      <t xml:space="preserve">디웨이브 퀀텀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퀀텀 컴퓨팅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알고리듬 홀딩스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인플렉션</t>
    </r>
  </si>
  <si>
    <t xml:space="preserve">–</t>
  </si>
  <si>
    <t xml:space="preserve">게임</t>
  </si>
  <si>
    <r>
      <rPr>
        <sz val="11"/>
        <rFont val="Arial"/>
        <family val="0"/>
        <charset val="1"/>
      </rPr>
      <t xml:space="preserve">NC, </t>
    </r>
    <r>
      <rPr>
        <sz val="11"/>
        <rFont val="Noto Sans CJK SC"/>
        <family val="2"/>
      </rPr>
      <t xml:space="preserve">크래프톤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펄어비스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위메이드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컴투스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넷마블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넥슨게임즈</t>
    </r>
  </si>
  <si>
    <r>
      <rPr>
        <sz val="11"/>
        <rFont val="Noto Sans CJK SC"/>
        <family val="2"/>
      </rPr>
      <t xml:space="preserve">로블록스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테이크 투 인터랙티브 소프트웨어</t>
    </r>
  </si>
  <si>
    <r>
      <rPr>
        <sz val="11"/>
        <rFont val="Noto Sans CJK SC"/>
        <family val="2"/>
      </rPr>
      <t xml:space="preserve">닌텐도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캡콤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코나미그룹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넥슨</t>
    </r>
  </si>
  <si>
    <t xml:space="preserve">합계</t>
  </si>
  <si>
    <t xml:space="preserve">불러온 뒤 원래 그룹에서 빼야 할 종목</t>
  </si>
  <si>
    <t xml:space="preserve">시장</t>
  </si>
  <si>
    <t xml:space="preserve">원래 위치</t>
  </si>
  <si>
    <t xml:space="preserve">종목명</t>
  </si>
  <si>
    <t xml:space="preserve">옮겨간 곳</t>
  </si>
  <si>
    <r>
      <rPr>
        <sz val="11"/>
        <rFont val="Arial"/>
        <family val="0"/>
        <charset val="1"/>
      </rPr>
      <t xml:space="preserve">sw / </t>
    </r>
    <r>
      <rPr>
        <sz val="11"/>
        <rFont val="Noto Sans CJK SC"/>
        <family val="2"/>
      </rPr>
      <t xml:space="preserve">스테이블코인</t>
    </r>
  </si>
  <si>
    <t xml:space="preserve">NHN KCP</t>
  </si>
  <si>
    <r>
      <rPr>
        <sz val="11"/>
        <rFont val="Arial"/>
        <family val="0"/>
        <charset val="1"/>
      </rPr>
      <t xml:space="preserve">(10 </t>
    </r>
    <r>
      <rPr>
        <sz val="11"/>
        <rFont val="Noto Sans CJK SC"/>
        <family val="2"/>
      </rPr>
      <t xml:space="preserve">금융 이동 완료</t>
    </r>
    <r>
      <rPr>
        <sz val="11"/>
        <rFont val="Arial"/>
        <family val="0"/>
        <charset val="1"/>
      </rPr>
      <t xml:space="preserve">)</t>
    </r>
  </si>
  <si>
    <t xml:space="preserve">헥토파이낸셜</t>
  </si>
  <si>
    <t xml:space="preserve">아톤</t>
  </si>
  <si>
    <t xml:space="preserve">헥토이노베이션</t>
  </si>
  <si>
    <t xml:space="preserve">다날</t>
  </si>
  <si>
    <t xml:space="preserve">한컴위드</t>
  </si>
  <si>
    <t xml:space="preserve">아이티센글로벌</t>
  </si>
  <si>
    <t xml:space="preserve">핑거</t>
  </si>
  <si>
    <t xml:space="preserve">형지글로벌</t>
  </si>
  <si>
    <r>
      <rPr>
        <sz val="11"/>
        <rFont val="Arial"/>
        <family val="0"/>
        <charset val="1"/>
      </rPr>
      <t xml:space="preserve">LG</t>
    </r>
    <r>
      <rPr>
        <sz val="11"/>
        <rFont val="Noto Sans CJK SC"/>
        <family val="2"/>
      </rPr>
      <t xml:space="preserve">씨엔에스</t>
    </r>
  </si>
  <si>
    <t xml:space="preserve">미투온</t>
  </si>
  <si>
    <t xml:space="preserve">쿠콘</t>
  </si>
  <si>
    <t xml:space="preserve">넥써쓰</t>
  </si>
  <si>
    <t xml:space="preserve">한국정보인증</t>
  </si>
  <si>
    <t xml:space="preserve">우리기술투자</t>
  </si>
  <si>
    <t xml:space="preserve">카카오페이</t>
  </si>
  <si>
    <t xml:space="preserve">더즌</t>
  </si>
  <si>
    <r>
      <rPr>
        <sz val="11"/>
        <rFont val="Arial"/>
        <family val="0"/>
        <charset val="1"/>
      </rPr>
      <t xml:space="preserve">sw / </t>
    </r>
    <r>
      <rPr>
        <sz val="11"/>
        <rFont val="Noto Sans CJK SC"/>
        <family val="2"/>
      </rPr>
      <t xml:space="preserve">자율주행</t>
    </r>
  </si>
  <si>
    <t xml:space="preserve">현대오토에버</t>
  </si>
  <si>
    <r>
      <rPr>
        <sz val="11"/>
        <rFont val="Arial"/>
        <family val="0"/>
        <charset val="1"/>
      </rPr>
      <t xml:space="preserve">(05 </t>
    </r>
    <r>
      <rPr>
        <sz val="11"/>
        <rFont val="Noto Sans CJK SC"/>
        <family val="2"/>
      </rPr>
      <t xml:space="preserve">로봇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자동차</t>
    </r>
    <r>
      <rPr>
        <sz val="11"/>
        <rFont val="Arial"/>
        <family val="0"/>
        <charset val="1"/>
      </rPr>
      <t xml:space="preserve">)</t>
    </r>
  </si>
  <si>
    <t xml:space="preserve">슈어소프트테크</t>
  </si>
  <si>
    <t xml:space="preserve">모트렉스</t>
  </si>
  <si>
    <r>
      <rPr>
        <sz val="11"/>
        <rFont val="Noto Sans CJK SC"/>
        <family val="2"/>
      </rPr>
      <t xml:space="preserve">미국 헬스케어 </t>
    </r>
    <r>
      <rPr>
        <sz val="11"/>
        <rFont val="Arial"/>
        <family val="0"/>
        <charset val="1"/>
      </rPr>
      <t xml:space="preserve">/ (</t>
    </r>
    <r>
      <rPr>
        <sz val="11"/>
        <rFont val="Noto Sans CJK SC"/>
        <family val="2"/>
      </rPr>
      <t xml:space="preserve">구간없음</t>
    </r>
    <r>
      <rPr>
        <sz val="11"/>
        <rFont val="Arial"/>
        <family val="0"/>
        <charset val="1"/>
      </rPr>
      <t xml:space="preserve">)</t>
    </r>
  </si>
  <si>
    <t xml:space="preserve">서비스나우</t>
  </si>
  <si>
    <r>
      <rPr>
        <sz val="11"/>
        <rFont val="Arial"/>
        <family val="0"/>
        <charset val="1"/>
      </rPr>
      <t xml:space="preserve">09 SW·</t>
    </r>
    <r>
      <rPr>
        <sz val="11"/>
        <rFont val="Noto Sans CJK SC"/>
        <family val="2"/>
      </rPr>
      <t xml:space="preserve">게임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보안 </t>
    </r>
    <r>
      <rPr>
        <sz val="11"/>
        <rFont val="Arial"/>
        <family val="0"/>
        <charset val="1"/>
      </rPr>
      <t xml:space="preserve">/ SaaS IT</t>
    </r>
    <r>
      <rPr>
        <sz val="11"/>
        <rFont val="Noto Sans CJK SC"/>
        <family val="2"/>
      </rPr>
      <t xml:space="preserve">서비스</t>
    </r>
  </si>
  <si>
    <t xml:space="preserve">워크데이</t>
  </si>
  <si>
    <t xml:space="preserve">세일스포스</t>
  </si>
  <si>
    <r>
      <rPr>
        <sz val="11"/>
        <rFont val="Noto Sans CJK SC"/>
        <family val="2"/>
      </rPr>
      <t xml:space="preserve">미국 </t>
    </r>
    <r>
      <rPr>
        <sz val="11"/>
        <rFont val="Arial"/>
        <family val="0"/>
        <charset val="1"/>
      </rPr>
      <t xml:space="preserve">new / SPACE</t>
    </r>
  </si>
  <si>
    <t xml:space="preserve">인튜이트</t>
  </si>
  <si>
    <r>
      <rPr>
        <sz val="11"/>
        <rFont val="Noto Sans CJK SC"/>
        <family val="2"/>
      </rPr>
      <t xml:space="preserve">미국 정책 수혜주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보안</t>
    </r>
  </si>
  <si>
    <t xml:space="preserve">데이터도그</t>
  </si>
  <si>
    <t xml:space="preserve">크라우드스트라이크 홀딩스</t>
  </si>
  <si>
    <r>
      <rPr>
        <sz val="11"/>
        <rFont val="Arial"/>
        <family val="0"/>
        <charset val="1"/>
      </rPr>
      <t xml:space="preserve">09 SW·</t>
    </r>
    <r>
      <rPr>
        <sz val="11"/>
        <rFont val="Noto Sans CJK SC"/>
        <family val="2"/>
      </rPr>
      <t xml:space="preserve">게임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보안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보안</t>
    </r>
  </si>
  <si>
    <t xml:space="preserve">팰로 앨토 네트웍스</t>
  </si>
  <si>
    <t xml:space="preserve">옥타</t>
  </si>
  <si>
    <r>
      <rPr>
        <sz val="11"/>
        <rFont val="Noto Sans CJK SC"/>
        <family val="2"/>
      </rPr>
      <t xml:space="preserve">미국 데이터센터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양자컴퓨터</t>
    </r>
  </si>
  <si>
    <t xml:space="preserve">아이온큐</t>
  </si>
  <si>
    <r>
      <rPr>
        <sz val="11"/>
        <rFont val="Arial"/>
        <family val="0"/>
        <charset val="1"/>
      </rPr>
      <t xml:space="preserve">09 SW·</t>
    </r>
    <r>
      <rPr>
        <sz val="11"/>
        <rFont val="Noto Sans CJK SC"/>
        <family val="2"/>
      </rPr>
      <t xml:space="preserve">게임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보안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양자</t>
    </r>
  </si>
  <si>
    <r>
      <rPr>
        <sz val="11"/>
        <rFont val="Noto Sans CJK SC"/>
        <family val="2"/>
      </rPr>
      <t xml:space="preserve">실</t>
    </r>
    <r>
      <rPr>
        <sz val="11"/>
        <rFont val="Arial"/>
        <family val="0"/>
        <charset val="1"/>
      </rPr>
      <t xml:space="preserve">SQ</t>
    </r>
  </si>
  <si>
    <t xml:space="preserve">리게티 컴퓨팅</t>
  </si>
  <si>
    <t xml:space="preserve">DEFIANCE QUANTUM</t>
  </si>
  <si>
    <t xml:space="preserve">디웨이브 퀀텀</t>
  </si>
  <si>
    <t xml:space="preserve">퀀텀 컴퓨팅</t>
  </si>
  <si>
    <t xml:space="preserve">알고리듬 홀딩스</t>
  </si>
  <si>
    <t xml:space="preserve">인플렉션</t>
  </si>
  <si>
    <r>
      <rPr>
        <sz val="11"/>
        <rFont val="Noto Sans CJK SC"/>
        <family val="2"/>
      </rPr>
      <t xml:space="preserve">일본 테마 </t>
    </r>
    <r>
      <rPr>
        <sz val="11"/>
        <rFont val="Arial"/>
        <family val="0"/>
        <charset val="1"/>
      </rPr>
      <t xml:space="preserve">/ (</t>
    </r>
    <r>
      <rPr>
        <sz val="11"/>
        <rFont val="Noto Sans CJK SC"/>
        <family val="2"/>
      </rPr>
      <t xml:space="preserve">구간없음</t>
    </r>
    <r>
      <rPr>
        <sz val="11"/>
        <rFont val="Arial"/>
        <family val="0"/>
        <charset val="1"/>
      </rPr>
      <t xml:space="preserve">)</t>
    </r>
  </si>
  <si>
    <t xml:space="preserve">NEC</t>
  </si>
  <si>
    <t xml:space="preserve">후지쯔</t>
  </si>
  <si>
    <t xml:space="preserve">결정이 필요한 항목</t>
  </si>
  <si>
    <t xml:space="preserve">항목</t>
  </si>
  <si>
    <t xml:space="preserve">현재 처리</t>
  </si>
  <si>
    <t xml:space="preserve">검토 내용</t>
  </si>
  <si>
    <t xml:space="preserve">추천</t>
  </si>
  <si>
    <r>
      <rPr>
        <b val="true"/>
        <sz val="11"/>
        <color rgb="FFFFFFFF"/>
        <rFont val="Noto Sans CJK SC"/>
        <family val="2"/>
      </rPr>
      <t xml:space="preserve">결정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직접 입력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</si>
  <si>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한국정보통신</t>
  </si>
  <si>
    <t xml:space="preserve">보안 구간에 유지</t>
  </si>
  <si>
    <r>
      <rPr>
        <sz val="11"/>
        <rFont val="Noto Sans CJK SC"/>
        <family val="2"/>
      </rPr>
      <t xml:space="preserve">결제 단말</t>
    </r>
    <r>
      <rPr>
        <sz val="11"/>
        <rFont val="Arial"/>
        <family val="0"/>
        <charset val="1"/>
      </rPr>
      <t xml:space="preserve">(VAN) </t>
    </r>
    <r>
      <rPr>
        <sz val="11"/>
        <rFont val="Noto Sans CJK SC"/>
        <family val="2"/>
      </rPr>
      <t xml:space="preserve">업체</t>
    </r>
  </si>
  <si>
    <r>
      <rPr>
        <sz val="11"/>
        <rFont val="Arial"/>
        <family val="0"/>
        <charset val="1"/>
      </rPr>
      <t xml:space="preserve">10 </t>
    </r>
    <r>
      <rPr>
        <sz val="11"/>
        <rFont val="Noto Sans CJK SC"/>
        <family val="2"/>
      </rPr>
      <t xml:space="preserve">금융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결제 핀테크로 이동</t>
    </r>
  </si>
  <si>
    <t xml:space="preserve">더존비즈온</t>
  </si>
  <si>
    <t xml:space="preserve">미추가</t>
  </si>
  <si>
    <t xml:space="preserve">키움 조회에서 종목 정보 없음</t>
  </si>
  <si>
    <t xml:space="preserve">상장 여부 확인 후 추가</t>
  </si>
  <si>
    <r>
      <rPr>
        <sz val="11"/>
        <rFont val="Noto Sans CJK SC"/>
        <family val="2"/>
      </rPr>
      <t xml:space="preserve">자율주행 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종목</t>
    </r>
  </si>
  <si>
    <t xml:space="preserve">탭 밖 이동</t>
  </si>
  <si>
    <r>
      <rPr>
        <sz val="11"/>
        <rFont val="Noto Sans CJK SC"/>
        <family val="2"/>
      </rPr>
      <t xml:space="preserve">현대오토에버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슈어소프트테크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모트렉스</t>
    </r>
  </si>
  <si>
    <r>
      <rPr>
        <sz val="11"/>
        <rFont val="Arial"/>
        <family val="0"/>
        <charset val="1"/>
      </rPr>
      <t xml:space="preserve">05 </t>
    </r>
    <r>
      <rPr>
        <sz val="11"/>
        <rFont val="Noto Sans CJK SC"/>
        <family val="2"/>
      </rPr>
      <t xml:space="preserve">로봇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자동차 정리 때 반영</t>
    </r>
  </si>
  <si>
    <t xml:space="preserve">우리로</t>
  </si>
  <si>
    <r>
      <rPr>
        <sz val="11"/>
        <rFont val="Noto Sans CJK SC"/>
        <family val="2"/>
      </rPr>
      <t xml:space="preserve">양자 구간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데이터센터 탭과 중복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</si>
  <si>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포토다이오드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광부품</t>
    </r>
    <r>
      <rPr>
        <sz val="11"/>
        <rFont val="Arial"/>
        <family val="0"/>
        <charset val="1"/>
      </rPr>
      <t xml:space="preserve">) + </t>
    </r>
    <r>
      <rPr>
        <sz val="11"/>
        <rFont val="Noto Sans CJK SC"/>
        <family val="2"/>
      </rPr>
      <t xml:space="preserve">양자암호</t>
    </r>
  </si>
  <si>
    <t xml:space="preserve">의도적 중복 유지 또는 한 곳만 선택</t>
  </si>
  <si>
    <r>
      <rPr>
        <sz val="11"/>
        <rFont val="Noto Sans CJK SC"/>
        <family val="2"/>
      </rPr>
      <t xml:space="preserve">후지쯔</t>
    </r>
    <r>
      <rPr>
        <sz val="11"/>
        <rFont val="Arial"/>
        <family val="0"/>
        <charset val="1"/>
      </rPr>
      <t xml:space="preserve">·NEC</t>
    </r>
  </si>
  <si>
    <r>
      <rPr>
        <sz val="11"/>
        <rFont val="Arial"/>
        <family val="0"/>
        <charset val="1"/>
      </rPr>
      <t xml:space="preserve">SaaS IT</t>
    </r>
    <r>
      <rPr>
        <sz val="11"/>
        <rFont val="Noto Sans CJK SC"/>
        <family val="2"/>
      </rPr>
      <t xml:space="preserve">서비스 구간</t>
    </r>
  </si>
  <si>
    <r>
      <rPr>
        <sz val="11"/>
        <rFont val="Noto Sans CJK SC"/>
        <family val="2"/>
      </rPr>
      <t xml:space="preserve">본업 </t>
    </r>
    <r>
      <rPr>
        <sz val="11"/>
        <rFont val="Arial"/>
        <family val="0"/>
        <charset val="1"/>
      </rPr>
      <t xml:space="preserve">SI, </t>
    </r>
    <r>
      <rPr>
        <sz val="11"/>
        <rFont val="Noto Sans CJK SC"/>
        <family val="2"/>
      </rPr>
      <t xml:space="preserve">양자컴퓨터 개발</t>
    </r>
  </si>
  <si>
    <r>
      <rPr>
        <sz val="11"/>
        <rFont val="Noto Sans CJK SC"/>
        <family val="2"/>
      </rPr>
      <t xml:space="preserve">메모로 양자 표시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같은 탭이라 함께 보임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</si>
  <si>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소프트뱅크그룹</t>
    </r>
    <r>
      <rPr>
        <sz val="11"/>
        <rFont val="Arial"/>
        <family val="0"/>
        <charset val="1"/>
      </rPr>
      <t xml:space="preserve">·SK</t>
    </r>
    <r>
      <rPr>
        <sz val="11"/>
        <rFont val="Noto Sans CJK SC"/>
        <family val="2"/>
      </rPr>
      <t xml:space="preserve">스퀘어</t>
    </r>
  </si>
  <si>
    <r>
      <rPr>
        <sz val="11"/>
        <rFont val="Noto Sans CJK SC"/>
        <family val="2"/>
      </rPr>
      <t xml:space="preserve">일장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국장</t>
    </r>
  </si>
  <si>
    <r>
      <rPr>
        <sz val="11"/>
        <rFont val="Arial"/>
        <family val="0"/>
        <charset val="1"/>
      </rPr>
      <t xml:space="preserve">SW </t>
    </r>
    <r>
      <rPr>
        <sz val="11"/>
        <rFont val="Noto Sans CJK SC"/>
        <family val="2"/>
      </rPr>
      <t xml:space="preserve">탭에 넣지 않음</t>
    </r>
  </si>
  <si>
    <t xml:space="preserve">투자형 지주사</t>
  </si>
  <si>
    <r>
      <rPr>
        <sz val="11"/>
        <rFont val="Arial"/>
        <family val="0"/>
        <charset val="1"/>
      </rPr>
      <t xml:space="preserve">10 </t>
    </r>
    <r>
      <rPr>
        <sz val="11"/>
        <rFont val="Noto Sans CJK SC"/>
        <family val="2"/>
      </rPr>
      <t xml:space="preserve">금융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자산운용 투자 구간에 추가</t>
    </r>
  </si>
  <si>
    <t xml:space="preserve">코어위브</t>
  </si>
  <si>
    <t xml:space="preserve">월가 탭에 유지</t>
  </si>
  <si>
    <r>
      <rPr>
        <sz val="11"/>
        <rFont val="Arial"/>
        <family val="0"/>
        <charset val="1"/>
      </rPr>
      <t xml:space="preserve">AI </t>
    </r>
    <r>
      <rPr>
        <sz val="11"/>
        <rFont val="Noto Sans CJK SC"/>
        <family val="2"/>
      </rPr>
      <t xml:space="preserve">클라우드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네오클라우드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</si>
  <si>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02 </t>
    </r>
    <r>
      <rPr>
        <sz val="11"/>
        <rFont val="Noto Sans CJK SC"/>
        <family val="2"/>
      </rPr>
      <t xml:space="preserve">데이터센터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서버 랙 후보</t>
    </r>
  </si>
  <si>
    <r>
      <rPr>
        <sz val="11"/>
        <rFont val="Noto Sans CJK SC"/>
        <family val="2"/>
      </rPr>
      <t xml:space="preserve">일장 신규 </t>
    </r>
    <r>
      <rPr>
        <sz val="11"/>
        <rFont val="Arial"/>
        <family val="0"/>
        <charset val="1"/>
      </rPr>
      <t xml:space="preserve">8</t>
    </r>
    <r>
      <rPr>
        <sz val="11"/>
        <rFont val="Noto Sans CJK SC"/>
        <family val="2"/>
      </rPr>
      <t xml:space="preserve">종목 코드</t>
    </r>
  </si>
  <si>
    <r>
      <rPr>
        <sz val="11"/>
        <rFont val="Noto Sans CJK SC"/>
        <family val="2"/>
      </rPr>
      <t xml:space="preserve">추가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코드 미검증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</si>
  <si>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리크루트</t>
    </r>
    <r>
      <rPr>
        <sz val="11"/>
        <rFont val="Arial"/>
        <family val="0"/>
        <charset val="1"/>
      </rPr>
      <t xml:space="preserve">, LY</t>
    </r>
    <r>
      <rPr>
        <sz val="11"/>
        <rFont val="Noto Sans CJK SC"/>
        <family val="2"/>
      </rPr>
      <t xml:space="preserve">코퍼레이션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사쿠라인터넷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트렌드마이크로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닌텐도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캡콤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코나미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넥슨</t>
    </r>
  </si>
  <si>
    <r>
      <rPr>
        <sz val="11"/>
        <rFont val="Noto Sans CJK SC"/>
        <family val="2"/>
      </rPr>
      <t xml:space="preserve">영웅문 </t>
    </r>
    <r>
      <rPr>
        <sz val="11"/>
        <rFont val="Arial"/>
        <family val="0"/>
        <charset val="1"/>
      </rPr>
      <t xml:space="preserve">Global</t>
    </r>
    <r>
      <rPr>
        <sz val="11"/>
        <rFont val="Noto Sans CJK SC"/>
        <family val="2"/>
      </rPr>
      <t xml:space="preserve">에서 종목명 확인</t>
    </r>
  </si>
  <si>
    <r>
      <rPr>
        <b val="true"/>
        <sz val="10"/>
        <rFont val="Noto Sans CJK SC"/>
        <family val="2"/>
      </rPr>
      <t xml:space="preserve">빈칸메모 입력 순서</t>
    </r>
    <r>
      <rPr>
        <b val="true"/>
        <sz val="10"/>
        <rFont val="Arial"/>
        <family val="0"/>
        <charset val="1"/>
      </rPr>
      <t xml:space="preserve">: </t>
    </r>
    <r>
      <rPr>
        <b val="true"/>
        <sz val="10"/>
        <rFont val="Noto Sans CJK SC"/>
        <family val="2"/>
      </rPr>
      <t xml:space="preserve">플랫폼 </t>
    </r>
    <r>
      <rPr>
        <b val="true"/>
        <sz val="10"/>
        <rFont val="Arial"/>
        <family val="0"/>
        <charset val="1"/>
      </rPr>
      <t xml:space="preserve">/ SaaS IT</t>
    </r>
    <r>
      <rPr>
        <b val="true"/>
        <sz val="10"/>
        <rFont val="Noto Sans CJK SC"/>
        <family val="2"/>
      </rPr>
      <t xml:space="preserve">서비스 </t>
    </r>
    <r>
      <rPr>
        <b val="true"/>
        <sz val="10"/>
        <rFont val="Arial"/>
        <family val="0"/>
        <charset val="1"/>
      </rPr>
      <t xml:space="preserve">/ AI </t>
    </r>
    <r>
      <rPr>
        <b val="true"/>
        <sz val="10"/>
        <rFont val="Noto Sans CJK SC"/>
        <family val="2"/>
      </rPr>
      <t xml:space="preserve">소프트웨어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보안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양자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게임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일장은 양자 구간 없음</t>
    </r>
    <r>
      <rPr>
        <b val="true"/>
        <sz val="10"/>
        <rFont val="Arial"/>
        <family val="0"/>
        <charset val="1"/>
      </rPr>
      <t xml:space="preserve">)</t>
    </r>
  </si>
  <si>
    <t xml:space="preserve">구간 순서</t>
  </si>
  <si>
    <r>
      <rPr>
        <b val="true"/>
        <sz val="11"/>
        <color rgb="FFFFFFFF"/>
        <rFont val="Noto Sans CJK SC"/>
        <family val="2"/>
      </rPr>
      <t xml:space="preserve">원래 위치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탭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Noto Sans CJK SC"/>
        <family val="2"/>
      </rPr>
      <t xml:space="preserve">구간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</si>
  <si>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종목코드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티커</t>
    </r>
  </si>
  <si>
    <t xml:space="preserve">영웅문 코드</t>
  </si>
  <si>
    <t xml:space="preserve">상태</t>
  </si>
  <si>
    <t xml:space="preserve">메모</t>
  </si>
  <si>
    <t xml:space="preserve">NAVER</t>
  </si>
  <si>
    <t xml:space="preserve">035420</t>
  </si>
  <si>
    <t xml:space="preserve">구간 이동</t>
  </si>
  <si>
    <r>
      <rPr>
        <sz val="11"/>
        <rFont val="Noto Sans CJK SC"/>
        <family val="2"/>
      </rPr>
      <t xml:space="preserve">금융 탭에서 빼고 여기로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구글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메타 짝</t>
    </r>
    <r>
      <rPr>
        <sz val="11"/>
        <rFont val="Arial"/>
        <family val="0"/>
        <charset val="1"/>
      </rPr>
      <t xml:space="preserve">)</t>
    </r>
  </si>
  <si>
    <t xml:space="preserve">카카오</t>
  </si>
  <si>
    <t xml:space="preserve">035720</t>
  </si>
  <si>
    <r>
      <rPr>
        <sz val="11"/>
        <rFont val="Noto Sans CJK SC"/>
        <family val="2"/>
      </rPr>
      <t xml:space="preserve">신규 </t>
    </r>
    <r>
      <rPr>
        <sz val="11"/>
        <rFont val="Arial"/>
        <family val="0"/>
        <charset val="1"/>
      </rPr>
      <t xml:space="preserve">/ (</t>
    </r>
    <r>
      <rPr>
        <sz val="11"/>
        <rFont val="Noto Sans CJK SC"/>
        <family val="2"/>
      </rPr>
      <t xml:space="preserve">신규</t>
    </r>
    <r>
      <rPr>
        <sz val="11"/>
        <rFont val="Arial"/>
        <family val="0"/>
        <charset val="1"/>
      </rPr>
      <t xml:space="preserve">)</t>
    </r>
  </si>
  <si>
    <t xml:space="preserve">사람인</t>
  </si>
  <si>
    <t xml:space="preserve">143240</t>
  </si>
  <si>
    <t xml:space="preserve">신규</t>
  </si>
  <si>
    <r>
      <rPr>
        <sz val="11"/>
        <rFont val="Noto Sans CJK SC"/>
        <family val="2"/>
      </rPr>
      <t xml:space="preserve">구인 플랫폼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리크루트 짝</t>
    </r>
  </si>
  <si>
    <r>
      <rPr>
        <sz val="11"/>
        <rFont val="Arial"/>
        <family val="0"/>
        <charset val="1"/>
      </rPr>
      <t xml:space="preserve">sw / </t>
    </r>
    <r>
      <rPr>
        <sz val="11"/>
        <rFont val="Noto Sans CJK SC"/>
        <family val="2"/>
      </rPr>
      <t xml:space="preserve">보안</t>
    </r>
  </si>
  <si>
    <t xml:space="preserve">삼성에스디에스</t>
  </si>
  <si>
    <t xml:space="preserve">018260</t>
  </si>
  <si>
    <r>
      <rPr>
        <sz val="11"/>
        <rFont val="Arial"/>
        <family val="0"/>
        <charset val="1"/>
      </rPr>
      <t xml:space="preserve">IT</t>
    </r>
    <r>
      <rPr>
        <sz val="11"/>
        <rFont val="Noto Sans CJK SC"/>
        <family val="2"/>
      </rPr>
      <t xml:space="preserve">서비스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클라우드</t>
    </r>
  </si>
  <si>
    <t xml:space="preserve">가비아</t>
  </si>
  <si>
    <t xml:space="preserve">079940</t>
  </si>
  <si>
    <r>
      <rPr>
        <sz val="11"/>
        <rFont val="Noto Sans CJK SC"/>
        <family val="2"/>
      </rPr>
      <t xml:space="preserve">클라우드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호스팅</t>
    </r>
  </si>
  <si>
    <t xml:space="preserve">케이아이엔엑스</t>
  </si>
  <si>
    <t xml:space="preserve">093320</t>
  </si>
  <si>
    <r>
      <rPr>
        <sz val="11"/>
        <rFont val="Noto Sans CJK SC"/>
        <family val="2"/>
      </rPr>
      <t xml:space="preserve">클라우드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인터넷 연결</t>
    </r>
    <r>
      <rPr>
        <sz val="11"/>
        <rFont val="Arial"/>
        <family val="0"/>
        <charset val="1"/>
      </rPr>
      <t xml:space="preserve">(IX), </t>
    </r>
    <r>
      <rPr>
        <sz val="11"/>
        <rFont val="Noto Sans CJK SC"/>
        <family val="2"/>
      </rPr>
      <t xml:space="preserve">가비아 자회사</t>
    </r>
  </si>
  <si>
    <t xml:space="preserve">솔트룩스</t>
  </si>
  <si>
    <t xml:space="preserve">304100</t>
  </si>
  <si>
    <r>
      <rPr>
        <sz val="11"/>
        <rFont val="Arial"/>
        <family val="0"/>
        <charset val="1"/>
      </rPr>
      <t xml:space="preserve">AI </t>
    </r>
    <r>
      <rPr>
        <sz val="11"/>
        <rFont val="Noto Sans CJK SC"/>
        <family val="2"/>
      </rPr>
      <t xml:space="preserve">언어모델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팔란티어 테마 연동</t>
    </r>
  </si>
  <si>
    <t xml:space="preserve">코난테크놀로지</t>
  </si>
  <si>
    <t xml:space="preserve">402030</t>
  </si>
  <si>
    <r>
      <rPr>
        <sz val="11"/>
        <rFont val="Arial"/>
        <family val="0"/>
        <charset val="1"/>
      </rPr>
      <t xml:space="preserve">AI </t>
    </r>
    <r>
      <rPr>
        <sz val="11"/>
        <rFont val="Noto Sans CJK SC"/>
        <family val="2"/>
      </rPr>
      <t xml:space="preserve">검색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언어모델</t>
    </r>
  </si>
  <si>
    <t xml:space="preserve">윈스테크넷</t>
  </si>
  <si>
    <t xml:space="preserve">136540</t>
  </si>
  <si>
    <t xml:space="preserve">유지</t>
  </si>
  <si>
    <t xml:space="preserve">안랩</t>
  </si>
  <si>
    <t xml:space="preserve">053800</t>
  </si>
  <si>
    <t xml:space="preserve">엑스게이트</t>
  </si>
  <si>
    <t xml:space="preserve">356680</t>
  </si>
  <si>
    <t xml:space="preserve">025770</t>
  </si>
  <si>
    <r>
      <rPr>
        <sz val="11"/>
        <rFont val="Noto Sans CJK SC"/>
        <family val="2"/>
      </rPr>
      <t xml:space="preserve">확인 필요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결제 </t>
    </r>
    <r>
      <rPr>
        <sz val="11"/>
        <rFont val="Arial"/>
        <family val="0"/>
        <charset val="1"/>
      </rPr>
      <t xml:space="preserve">VAN </t>
    </r>
    <r>
      <rPr>
        <sz val="11"/>
        <rFont val="Noto Sans CJK SC"/>
        <family val="2"/>
      </rPr>
      <t xml:space="preserve">업체</t>
    </r>
  </si>
  <si>
    <r>
      <rPr>
        <sz val="11"/>
        <rFont val="Noto Sans CJK SC"/>
        <family val="2"/>
      </rPr>
      <t xml:space="preserve">파수</t>
    </r>
    <r>
      <rPr>
        <sz val="11"/>
        <rFont val="Arial"/>
        <family val="0"/>
        <charset val="1"/>
      </rPr>
      <t xml:space="preserve">AI</t>
    </r>
  </si>
  <si>
    <t xml:space="preserve">150900</t>
  </si>
  <si>
    <t xml:space="preserve">에스투더블유</t>
  </si>
  <si>
    <t xml:space="preserve">488280</t>
  </si>
  <si>
    <t xml:space="preserve">드림시큐리티</t>
  </si>
  <si>
    <t xml:space="preserve">203650</t>
  </si>
  <si>
    <t xml:space="preserve">라온시큐어</t>
  </si>
  <si>
    <t xml:space="preserve">042510</t>
  </si>
  <si>
    <r>
      <rPr>
        <sz val="11"/>
        <rFont val="Arial"/>
        <family val="0"/>
        <charset val="1"/>
      </rPr>
      <t xml:space="preserve">sw / </t>
    </r>
    <r>
      <rPr>
        <sz val="11"/>
        <rFont val="Noto Sans CJK SC"/>
        <family val="2"/>
      </rPr>
      <t xml:space="preserve">양자</t>
    </r>
  </si>
  <si>
    <t xml:space="preserve">아이씨티케이</t>
  </si>
  <si>
    <t xml:space="preserve">456010</t>
  </si>
  <si>
    <r>
      <rPr>
        <sz val="11"/>
        <rFont val="Noto Sans CJK SC"/>
        <family val="2"/>
      </rPr>
      <t xml:space="preserve">양자암호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양자통신</t>
    </r>
  </si>
  <si>
    <t xml:space="preserve">옵티시스</t>
  </si>
  <si>
    <t xml:space="preserve">109080</t>
  </si>
  <si>
    <t xml:space="preserve">우리넷</t>
  </si>
  <si>
    <t xml:space="preserve">115440</t>
  </si>
  <si>
    <t xml:space="preserve">046970</t>
  </si>
  <si>
    <r>
      <rPr>
        <sz val="11"/>
        <rFont val="Noto Sans CJK SC"/>
        <family val="2"/>
      </rPr>
      <t xml:space="preserve">양자암호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데이터센터 탭 광부품과 중복</t>
    </r>
  </si>
  <si>
    <t xml:space="preserve">코위버</t>
  </si>
  <si>
    <t xml:space="preserve">056360</t>
  </si>
  <si>
    <t xml:space="preserve">쏠리드</t>
  </si>
  <si>
    <t xml:space="preserve">050890</t>
  </si>
  <si>
    <r>
      <rPr>
        <sz val="11"/>
        <rFont val="Arial"/>
        <family val="0"/>
        <charset val="1"/>
      </rPr>
      <t xml:space="preserve">sw / </t>
    </r>
    <r>
      <rPr>
        <sz val="11"/>
        <rFont val="Noto Sans CJK SC"/>
        <family val="2"/>
      </rPr>
      <t xml:space="preserve">게임</t>
    </r>
  </si>
  <si>
    <t xml:space="preserve">NC</t>
  </si>
  <si>
    <t xml:space="preserve">036570</t>
  </si>
  <si>
    <t xml:space="preserve">크래프톤</t>
  </si>
  <si>
    <t xml:space="preserve">259960</t>
  </si>
  <si>
    <t xml:space="preserve">펄어비스</t>
  </si>
  <si>
    <t xml:space="preserve">263750</t>
  </si>
  <si>
    <t xml:space="preserve">위메이드</t>
  </si>
  <si>
    <t xml:space="preserve">112040</t>
  </si>
  <si>
    <t xml:space="preserve">컴투스</t>
  </si>
  <si>
    <t xml:space="preserve">078340</t>
  </si>
  <si>
    <t xml:space="preserve">넷마블</t>
  </si>
  <si>
    <t xml:space="preserve">251270</t>
  </si>
  <si>
    <t xml:space="preserve">넥슨게임즈</t>
  </si>
  <si>
    <t xml:space="preserve">225570</t>
  </si>
  <si>
    <r>
      <rPr>
        <sz val="11"/>
        <rFont val="Noto Sans CJK SC"/>
        <family val="2"/>
      </rPr>
      <t xml:space="preserve">넥슨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일본 상장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개발 자회사</t>
    </r>
  </si>
  <si>
    <t xml:space="preserve">060250</t>
  </si>
  <si>
    <r>
      <rPr>
        <sz val="11"/>
        <rFont val="Arial"/>
        <family val="0"/>
        <charset val="1"/>
      </rPr>
      <t xml:space="preserve">10 </t>
    </r>
    <r>
      <rPr>
        <sz val="11"/>
        <rFont val="Noto Sans CJK SC"/>
        <family val="2"/>
      </rPr>
      <t xml:space="preserve">금융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핀테크로 이동 완료</t>
    </r>
  </si>
  <si>
    <t xml:space="preserve">234340</t>
  </si>
  <si>
    <t xml:space="preserve">158430</t>
  </si>
  <si>
    <t xml:space="preserve">214180</t>
  </si>
  <si>
    <t xml:space="preserve">064260</t>
  </si>
  <si>
    <t xml:space="preserve">054920</t>
  </si>
  <si>
    <t xml:space="preserve">124500</t>
  </si>
  <si>
    <t xml:space="preserve">163730</t>
  </si>
  <si>
    <t xml:space="preserve">308100</t>
  </si>
  <si>
    <t xml:space="preserve">064400</t>
  </si>
  <si>
    <t xml:space="preserve">201490</t>
  </si>
  <si>
    <t xml:space="preserve">294570</t>
  </si>
  <si>
    <t xml:space="preserve">205500</t>
  </si>
  <si>
    <t xml:space="preserve">053300</t>
  </si>
  <si>
    <t xml:space="preserve">041190</t>
  </si>
  <si>
    <t xml:space="preserve">377300</t>
  </si>
  <si>
    <t xml:space="preserve">462860</t>
  </si>
  <si>
    <t xml:space="preserve">307950</t>
  </si>
  <si>
    <r>
      <rPr>
        <sz val="11"/>
        <rFont val="Arial"/>
        <family val="0"/>
        <charset val="1"/>
      </rPr>
      <t xml:space="preserve">05 </t>
    </r>
    <r>
      <rPr>
        <sz val="11"/>
        <rFont val="Noto Sans CJK SC"/>
        <family val="2"/>
      </rPr>
      <t xml:space="preserve">로봇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자동차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자율주행으로 이동 예정</t>
    </r>
  </si>
  <si>
    <t xml:space="preserve">298830</t>
  </si>
  <si>
    <t xml:space="preserve">118990</t>
  </si>
  <si>
    <r>
      <rPr>
        <sz val="11"/>
        <rFont val="Noto Sans CJK SC"/>
        <family val="2"/>
      </rPr>
      <t xml:space="preserve">월가 포트폴리오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드러켄밀러</t>
    </r>
  </si>
  <si>
    <t xml:space="preserve">아마존닷컴</t>
  </si>
  <si>
    <t xml:space="preserve">AMZN</t>
  </si>
  <si>
    <t xml:space="preserve">NDAMZN</t>
  </si>
  <si>
    <t xml:space="preserve">추가</t>
  </si>
  <si>
    <t xml:space="preserve">월가 탭과 의도적 중복</t>
  </si>
  <si>
    <t xml:space="preserve">마이크로소프트</t>
  </si>
  <si>
    <t xml:space="preserve">MSFT</t>
  </si>
  <si>
    <t xml:space="preserve">NDMSFT</t>
  </si>
  <si>
    <r>
      <rPr>
        <sz val="11"/>
        <rFont val="Noto Sans CJK SC"/>
        <family val="2"/>
      </rPr>
      <t xml:space="preserve">애저 클라우드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빅테크</t>
    </r>
  </si>
  <si>
    <r>
      <rPr>
        <sz val="11"/>
        <rFont val="Noto Sans CJK SC"/>
        <family val="2"/>
      </rPr>
      <t xml:space="preserve">알파벳 </t>
    </r>
    <r>
      <rPr>
        <sz val="11"/>
        <rFont val="Arial"/>
        <family val="0"/>
        <charset val="1"/>
      </rPr>
      <t xml:space="preserve">A</t>
    </r>
  </si>
  <si>
    <t xml:space="preserve">GOOGL</t>
  </si>
  <si>
    <t xml:space="preserve">NDGOOGL</t>
  </si>
  <si>
    <r>
      <rPr>
        <sz val="11"/>
        <rFont val="Arial"/>
        <family val="0"/>
        <charset val="1"/>
      </rPr>
      <t xml:space="preserve">NAVER </t>
    </r>
    <r>
      <rPr>
        <sz val="11"/>
        <rFont val="Noto Sans CJK SC"/>
        <family val="2"/>
      </rPr>
      <t xml:space="preserve">짝</t>
    </r>
  </si>
  <si>
    <r>
      <rPr>
        <sz val="11"/>
        <rFont val="Noto Sans CJK SC"/>
        <family val="2"/>
      </rPr>
      <t xml:space="preserve">메타 플랫폼스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페이스북</t>
    </r>
    <r>
      <rPr>
        <sz val="11"/>
        <rFont val="Arial"/>
        <family val="0"/>
        <charset val="1"/>
      </rPr>
      <t xml:space="preserve">)</t>
    </r>
  </si>
  <si>
    <t xml:space="preserve">META</t>
  </si>
  <si>
    <t xml:space="preserve">NDMETA</t>
  </si>
  <si>
    <t xml:space="preserve">카카오 짝</t>
  </si>
  <si>
    <r>
      <rPr>
        <sz val="11"/>
        <rFont val="Noto Sans CJK SC"/>
        <family val="2"/>
      </rPr>
      <t xml:space="preserve">미국 </t>
    </r>
    <r>
      <rPr>
        <sz val="11"/>
        <rFont val="Arial"/>
        <family val="0"/>
        <charset val="1"/>
      </rPr>
      <t xml:space="preserve">sw / SaaS</t>
    </r>
  </si>
  <si>
    <t xml:space="preserve">브로드리지 파이낸셜 솔루션</t>
  </si>
  <si>
    <t xml:space="preserve">BR</t>
  </si>
  <si>
    <t xml:space="preserve">NYBR</t>
  </si>
  <si>
    <r>
      <rPr>
        <sz val="11"/>
        <rFont val="Noto Sans CJK SC"/>
        <family val="2"/>
      </rPr>
      <t xml:space="preserve">금융 </t>
    </r>
    <r>
      <rPr>
        <sz val="11"/>
        <rFont val="Arial"/>
        <family val="0"/>
        <charset val="1"/>
      </rPr>
      <t xml:space="preserve">SW</t>
    </r>
  </si>
  <si>
    <t xml:space="preserve">피그마</t>
  </si>
  <si>
    <t xml:space="preserve">FIG</t>
  </si>
  <si>
    <t xml:space="preserve">NYFIG</t>
  </si>
  <si>
    <r>
      <rPr>
        <sz val="11"/>
        <rFont val="Noto Sans CJK SC"/>
        <family val="2"/>
      </rPr>
      <t xml:space="preserve">디자인 </t>
    </r>
    <r>
      <rPr>
        <sz val="11"/>
        <rFont val="Arial"/>
        <family val="0"/>
        <charset val="1"/>
      </rPr>
      <t xml:space="preserve">SaaS</t>
    </r>
  </si>
  <si>
    <t xml:space="preserve">NOW</t>
  </si>
  <si>
    <t xml:space="preserve">NYNOW</t>
  </si>
  <si>
    <t xml:space="preserve">헬스케어 탭에서 이동</t>
  </si>
  <si>
    <t xml:space="preserve">WDAY</t>
  </si>
  <si>
    <t xml:space="preserve">NDWDAY</t>
  </si>
  <si>
    <r>
      <rPr>
        <sz val="11"/>
        <rFont val="Noto Sans CJK SC"/>
        <family val="2"/>
      </rPr>
      <t xml:space="preserve">헬스케어 탭에서 이동</t>
    </r>
    <r>
      <rPr>
        <sz val="11"/>
        <rFont val="Arial"/>
        <family val="0"/>
        <charset val="1"/>
      </rPr>
      <t xml:space="preserve">, HR SaaS</t>
    </r>
  </si>
  <si>
    <t xml:space="preserve">CRM</t>
  </si>
  <si>
    <t xml:space="preserve">NYCRM</t>
  </si>
  <si>
    <t xml:space="preserve">INTU</t>
  </si>
  <si>
    <t xml:space="preserve">NDINTU</t>
  </si>
  <si>
    <r>
      <rPr>
        <sz val="11"/>
        <rFont val="Arial"/>
        <family val="0"/>
        <charset val="1"/>
      </rPr>
      <t xml:space="preserve">new </t>
    </r>
    <r>
      <rPr>
        <sz val="11"/>
        <rFont val="Noto Sans CJK SC"/>
        <family val="2"/>
      </rPr>
      <t xml:space="preserve">탭에서 이동</t>
    </r>
  </si>
  <si>
    <t xml:space="preserve">DDOG</t>
  </si>
  <si>
    <t xml:space="preserve">NDDDOG</t>
  </si>
  <si>
    <r>
      <rPr>
        <sz val="11"/>
        <rFont val="Noto Sans CJK SC"/>
        <family val="2"/>
      </rPr>
      <t xml:space="preserve">모니터링 </t>
    </r>
    <r>
      <rPr>
        <sz val="11"/>
        <rFont val="Arial"/>
        <family val="0"/>
        <charset val="1"/>
      </rPr>
      <t xml:space="preserve">SW, </t>
    </r>
    <r>
      <rPr>
        <sz val="11"/>
        <rFont val="Noto Sans CJK SC"/>
        <family val="2"/>
      </rPr>
      <t xml:space="preserve">정책 수혜주 탭에서 이동</t>
    </r>
  </si>
  <si>
    <t xml:space="preserve">오라클</t>
  </si>
  <si>
    <t xml:space="preserve">ORCL</t>
  </si>
  <si>
    <t xml:space="preserve">NYORCL</t>
  </si>
  <si>
    <r>
      <rPr>
        <sz val="11"/>
        <rFont val="Arial"/>
        <family val="0"/>
        <charset val="1"/>
      </rPr>
      <t xml:space="preserve">AI </t>
    </r>
    <r>
      <rPr>
        <sz val="11"/>
        <rFont val="Noto Sans CJK SC"/>
        <family val="2"/>
      </rPr>
      <t xml:space="preserve">클라우드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데이터센터 수요</t>
    </r>
  </si>
  <si>
    <t xml:space="preserve">팔란티어 테크</t>
  </si>
  <si>
    <t xml:space="preserve">PLTR</t>
  </si>
  <si>
    <t xml:space="preserve">NDPLTR</t>
  </si>
  <si>
    <r>
      <rPr>
        <sz val="11"/>
        <rFont val="Noto Sans CJK SC"/>
        <family val="2"/>
      </rPr>
      <t xml:space="preserve">국장 </t>
    </r>
    <r>
      <rPr>
        <sz val="11"/>
        <rFont val="Arial"/>
        <family val="0"/>
        <charset val="1"/>
      </rPr>
      <t xml:space="preserve">AI SW </t>
    </r>
    <r>
      <rPr>
        <sz val="11"/>
        <rFont val="Noto Sans CJK SC"/>
        <family val="2"/>
      </rPr>
      <t xml:space="preserve">테마 선행 신호</t>
    </r>
  </si>
  <si>
    <t xml:space="preserve">CRWD</t>
  </si>
  <si>
    <t xml:space="preserve">NDCRWD</t>
  </si>
  <si>
    <t xml:space="preserve">정책 수혜주 탭에서 이동</t>
  </si>
  <si>
    <t xml:space="preserve">PANW</t>
  </si>
  <si>
    <t xml:space="preserve">NDPANW</t>
  </si>
  <si>
    <t xml:space="preserve">OKTA</t>
  </si>
  <si>
    <t xml:space="preserve">NDOKTA</t>
  </si>
  <si>
    <t xml:space="preserve">IONQ</t>
  </si>
  <si>
    <t xml:space="preserve">NYIONQ</t>
  </si>
  <si>
    <t xml:space="preserve">데이터센터 탭에서 이동</t>
  </si>
  <si>
    <t xml:space="preserve">LAES</t>
  </si>
  <si>
    <t xml:space="preserve">NDLAES</t>
  </si>
  <si>
    <r>
      <rPr>
        <sz val="11"/>
        <rFont val="Noto Sans CJK SC"/>
        <family val="2"/>
      </rPr>
      <t xml:space="preserve">양자내성 보안칩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국장 양자암호 짝</t>
    </r>
  </si>
  <si>
    <t xml:space="preserve">RGTI</t>
  </si>
  <si>
    <t xml:space="preserve">NDRGTI</t>
  </si>
  <si>
    <t xml:space="preserve">QTUM</t>
  </si>
  <si>
    <t xml:space="preserve">NDQTUM</t>
  </si>
  <si>
    <r>
      <rPr>
        <sz val="11"/>
        <rFont val="Noto Sans CJK SC"/>
        <family val="2"/>
      </rPr>
      <t xml:space="preserve">양자 </t>
    </r>
    <r>
      <rPr>
        <sz val="11"/>
        <rFont val="Arial"/>
        <family val="0"/>
        <charset val="1"/>
      </rPr>
      <t xml:space="preserve">ETF</t>
    </r>
  </si>
  <si>
    <t xml:space="preserve">QBTS</t>
  </si>
  <si>
    <t xml:space="preserve">NDQBTS</t>
  </si>
  <si>
    <t xml:space="preserve">QUBT</t>
  </si>
  <si>
    <t xml:space="preserve">NDQUBT</t>
  </si>
  <si>
    <t xml:space="preserve">RIME</t>
  </si>
  <si>
    <t xml:space="preserve">NDRIME</t>
  </si>
  <si>
    <t xml:space="preserve">INFQ</t>
  </si>
  <si>
    <t xml:space="preserve">NYINFQ</t>
  </si>
  <si>
    <t xml:space="preserve">로블록스</t>
  </si>
  <si>
    <t xml:space="preserve">RBLX</t>
  </si>
  <si>
    <t xml:space="preserve">NYRBLX</t>
  </si>
  <si>
    <t xml:space="preserve">테이크 투 인터랙티브 소프트웨어</t>
  </si>
  <si>
    <t xml:space="preserve">TTWO</t>
  </si>
  <si>
    <t xml:space="preserve">NDTTWO</t>
  </si>
  <si>
    <r>
      <rPr>
        <sz val="11"/>
        <rFont val="Noto Sans CJK SC"/>
        <family val="2"/>
      </rPr>
      <t xml:space="preserve">크래프톤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펄어비스 짝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콘솔 대작</t>
    </r>
    <r>
      <rPr>
        <sz val="11"/>
        <rFont val="Arial"/>
        <family val="0"/>
        <charset val="1"/>
      </rPr>
      <t xml:space="preserve">)</t>
    </r>
  </si>
  <si>
    <t xml:space="preserve">리크루트홀딩스</t>
  </si>
  <si>
    <t xml:space="preserve">06098</t>
  </si>
  <si>
    <t xml:space="preserve">W06098</t>
  </si>
  <si>
    <r>
      <rPr>
        <sz val="11"/>
        <rFont val="Noto Sans CJK SC"/>
        <family val="2"/>
      </rPr>
      <t xml:space="preserve">인디드 운영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사람인 짝</t>
    </r>
  </si>
  <si>
    <r>
      <rPr>
        <sz val="11"/>
        <rFont val="Arial"/>
        <family val="0"/>
        <charset val="1"/>
      </rPr>
      <t xml:space="preserve">LY</t>
    </r>
    <r>
      <rPr>
        <sz val="11"/>
        <rFont val="Noto Sans CJK SC"/>
        <family val="2"/>
      </rPr>
      <t xml:space="preserve">코퍼레이션</t>
    </r>
  </si>
  <si>
    <t xml:space="preserve">04689</t>
  </si>
  <si>
    <t xml:space="preserve">W04689</t>
  </si>
  <si>
    <r>
      <rPr>
        <sz val="11"/>
        <rFont val="Noto Sans CJK SC"/>
        <family val="2"/>
      </rPr>
      <t xml:space="preserve">라인야후</t>
    </r>
    <r>
      <rPr>
        <sz val="11"/>
        <rFont val="Arial"/>
        <family val="0"/>
        <charset val="1"/>
      </rPr>
      <t xml:space="preserve">, NAVER·</t>
    </r>
    <r>
      <rPr>
        <sz val="11"/>
        <rFont val="Noto Sans CJK SC"/>
        <family val="2"/>
      </rPr>
      <t xml:space="preserve">카카오 짝</t>
    </r>
  </si>
  <si>
    <t xml:space="preserve">06701</t>
  </si>
  <si>
    <t xml:space="preserve">W06701</t>
  </si>
  <si>
    <r>
      <rPr>
        <sz val="11"/>
        <rFont val="Noto Sans CJK SC"/>
        <family val="2"/>
      </rPr>
      <t xml:space="preserve">일본 테마 탭에서 이동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삼성에스디에스 짝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양자컴퓨터 개발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양자 구간 짝</t>
    </r>
    <r>
      <rPr>
        <sz val="11"/>
        <rFont val="Arial"/>
        <family val="0"/>
        <charset val="1"/>
      </rPr>
      <t xml:space="preserve">) / </t>
    </r>
    <r>
      <rPr>
        <sz val="11"/>
        <rFont val="Noto Sans CJK SC"/>
        <family val="2"/>
      </rPr>
      <t xml:space="preserve">해저케이블</t>
    </r>
  </si>
  <si>
    <t xml:space="preserve">06702</t>
  </si>
  <si>
    <t xml:space="preserve">W06702</t>
  </si>
  <si>
    <r>
      <rPr>
        <sz val="11"/>
        <rFont val="Noto Sans CJK SC"/>
        <family val="2"/>
      </rPr>
      <t xml:space="preserve">일본 테마 탭에서 이동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삼성에스디에스 짝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양자컴퓨터 개발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양자 구간 짝</t>
    </r>
    <r>
      <rPr>
        <sz val="11"/>
        <rFont val="Arial"/>
        <family val="0"/>
        <charset val="1"/>
      </rPr>
      <t xml:space="preserve">)</t>
    </r>
  </si>
  <si>
    <t xml:space="preserve">03778</t>
  </si>
  <si>
    <t xml:space="preserve">W03778</t>
  </si>
  <si>
    <r>
      <rPr>
        <sz val="11"/>
        <rFont val="Arial"/>
        <family val="0"/>
        <charset val="1"/>
      </rPr>
      <t xml:space="preserve">AI </t>
    </r>
    <r>
      <rPr>
        <sz val="11"/>
        <rFont val="Noto Sans CJK SC"/>
        <family val="2"/>
      </rPr>
      <t xml:space="preserve">클라우드</t>
    </r>
  </si>
  <si>
    <t xml:space="preserve">04704</t>
  </si>
  <si>
    <t xml:space="preserve">W04704</t>
  </si>
  <si>
    <t xml:space="preserve">안랩 짝</t>
  </si>
  <si>
    <t xml:space="preserve">닌텐도</t>
  </si>
  <si>
    <t xml:space="preserve">07974</t>
  </si>
  <si>
    <t xml:space="preserve">W07974</t>
  </si>
  <si>
    <t xml:space="preserve">캡콤</t>
  </si>
  <si>
    <t xml:space="preserve">09697</t>
  </si>
  <si>
    <t xml:space="preserve">W09697</t>
  </si>
  <si>
    <t xml:space="preserve">코나미그룹</t>
  </si>
  <si>
    <t xml:space="preserve">09766</t>
  </si>
  <si>
    <t xml:space="preserve">W09766</t>
  </si>
  <si>
    <t xml:space="preserve">넥슨</t>
  </si>
  <si>
    <t xml:space="preserve">03659</t>
  </si>
  <si>
    <t xml:space="preserve">W03659</t>
  </si>
  <si>
    <r>
      <rPr>
        <sz val="11"/>
        <rFont val="Noto Sans CJK SC"/>
        <family val="2"/>
      </rPr>
      <t xml:space="preserve">한국 창업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넥슨게임즈 짝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</si>
</sst>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@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i val="true"/>
      <sz val="9"/>
      <color rgb="FF666666"/>
      <name val="Noto Sans CJK SC"/>
      <family val="2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Noto Sans CJK SC"/>
      <family val="2"/>
    </font>
    <font>
      <sz val="11"/>
      <name val="Arial"/>
      <family val="0"/>
      <charset val="1"/>
    </font>
    <font>
      <sz val="11"/>
      <name val="Noto Sans CJK SC"/>
      <family val="2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7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A5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>
          <bgColor rgb="FFDDEBF7"/>
        </patternFill>
      </fill>
    </dxf>
    <dxf>
      <fill>
        <patternFill>
          <bgColor rgb="FFEDEDE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0D7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5" min="3" style="0" width="7"/>
    <col collapsed="false" customWidth="true" hidden="false" outlineLevel="0" max="6" min="6" style="0" width="56"/>
    <col collapsed="false" customWidth="true" hidden="false" outlineLevel="0" max="7" min="7" style="0" width="46"/>
    <col collapsed="false" customWidth="true" hidden="false" outlineLevel="0" max="8" min="8" style="0" width="40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32.8" hidden="false" customHeight="false" outlineLevel="0" collapsed="false">
      <c r="A5" s="4" t="n">
        <v>1</v>
      </c>
      <c r="B5" s="5" t="s">
        <v>10</v>
      </c>
      <c r="C5" s="4" t="n">
        <f aca="false">COUNTIFS('종목 목록'!$A$2:$A$86,"국장",'종목 목록'!$C$2:$C$86,$B5,'종목 목록'!$H$2:$H$86,"&lt;&gt;탭 밖 이동")</f>
        <v>3</v>
      </c>
      <c r="D5" s="4" t="n">
        <f aca="false">COUNTIFS('종목 목록'!$A$2:$A$86,"미장",'종목 목록'!$C$2:$C$86,$B5,'종목 목록'!$H$2:$H$86,"&lt;&gt;탭 밖 이동")</f>
        <v>4</v>
      </c>
      <c r="E5" s="4" t="n">
        <f aca="false">COUNTIFS('종목 목록'!$A$2:$A$86,"일장",'종목 목록'!$C$2:$C$86,$B5,'종목 목록'!$H$2:$H$86,"&lt;&gt;탭 밖 이동")</f>
        <v>2</v>
      </c>
      <c r="F5" s="6" t="s">
        <v>11</v>
      </c>
      <c r="G5" s="7" t="s">
        <v>12</v>
      </c>
      <c r="H5" s="7" t="s">
        <v>13</v>
      </c>
    </row>
    <row r="6" customFormat="false" ht="32.8" hidden="false" customHeight="false" outlineLevel="0" collapsed="false">
      <c r="A6" s="4" t="n">
        <v>2</v>
      </c>
      <c r="B6" s="8" t="s">
        <v>14</v>
      </c>
      <c r="C6" s="4" t="n">
        <f aca="false">COUNTIFS('종목 목록'!$A$2:$A$86,"국장",'종목 목록'!$C$2:$C$86,$B6,'종목 목록'!$H$2:$H$86,"&lt;&gt;탭 밖 이동")</f>
        <v>3</v>
      </c>
      <c r="D6" s="4" t="n">
        <f aca="false">COUNTIFS('종목 목록'!$A$2:$A$86,"미장",'종목 목록'!$C$2:$C$86,$B6,'종목 목록'!$H$2:$H$86,"&lt;&gt;탭 밖 이동")</f>
        <v>7</v>
      </c>
      <c r="E6" s="4" t="n">
        <f aca="false">COUNTIFS('종목 목록'!$A$2:$A$86,"일장",'종목 목록'!$C$2:$C$86,$B6,'종목 목록'!$H$2:$H$86,"&lt;&gt;탭 밖 이동")</f>
        <v>2</v>
      </c>
      <c r="F6" s="7" t="s">
        <v>15</v>
      </c>
      <c r="G6" s="7" t="s">
        <v>16</v>
      </c>
      <c r="H6" s="6" t="s">
        <v>17</v>
      </c>
    </row>
    <row r="7" customFormat="false" ht="17.15" hidden="false" customHeight="false" outlineLevel="0" collapsed="false">
      <c r="A7" s="4" t="n">
        <v>3</v>
      </c>
      <c r="B7" s="8" t="s">
        <v>18</v>
      </c>
      <c r="C7" s="4" t="n">
        <f aca="false">COUNTIFS('종목 목록'!$A$2:$A$86,"국장",'종목 목록'!$C$2:$C$86,$B7,'종목 목록'!$H$2:$H$86,"&lt;&gt;탭 밖 이동")</f>
        <v>2</v>
      </c>
      <c r="D7" s="4" t="n">
        <f aca="false">COUNTIFS('종목 목록'!$A$2:$A$86,"미장",'종목 목록'!$C$2:$C$86,$B7,'종목 목록'!$H$2:$H$86,"&lt;&gt;탭 밖 이동")</f>
        <v>2</v>
      </c>
      <c r="E7" s="4" t="n">
        <f aca="false">COUNTIFS('종목 목록'!$A$2:$A$86,"일장",'종목 목록'!$C$2:$C$86,$B7,'종목 목록'!$H$2:$H$86,"&lt;&gt;탭 밖 이동")</f>
        <v>1</v>
      </c>
      <c r="F7" s="7" t="s">
        <v>19</v>
      </c>
      <c r="G7" s="7" t="s">
        <v>20</v>
      </c>
      <c r="H7" s="7" t="s">
        <v>21</v>
      </c>
    </row>
    <row r="8" customFormat="false" ht="32.8" hidden="false" customHeight="false" outlineLevel="0" collapsed="false">
      <c r="A8" s="4" t="n">
        <v>4</v>
      </c>
      <c r="B8" s="5" t="s">
        <v>22</v>
      </c>
      <c r="C8" s="4" t="n">
        <f aca="false">COUNTIFS('종목 목록'!$A$2:$A$86,"국장",'종목 목록'!$C$2:$C$86,$B8,'종목 목록'!$H$2:$H$86,"&lt;&gt;탭 밖 이동")</f>
        <v>8</v>
      </c>
      <c r="D8" s="4" t="n">
        <f aca="false">COUNTIFS('종목 목록'!$A$2:$A$86,"미장",'종목 목록'!$C$2:$C$86,$B8,'종목 목록'!$H$2:$H$86,"&lt;&gt;탭 밖 이동")</f>
        <v>3</v>
      </c>
      <c r="E8" s="4" t="n">
        <f aca="false">COUNTIFS('종목 목록'!$A$2:$A$86,"일장",'종목 목록'!$C$2:$C$86,$B8,'종목 목록'!$H$2:$H$86,"&lt;&gt;탭 밖 이동")</f>
        <v>1</v>
      </c>
      <c r="F8" s="7" t="s">
        <v>23</v>
      </c>
      <c r="G8" s="7" t="s">
        <v>24</v>
      </c>
      <c r="H8" s="7" t="s">
        <v>25</v>
      </c>
    </row>
    <row r="9" customFormat="false" ht="48.5" hidden="false" customHeight="false" outlineLevel="0" collapsed="false">
      <c r="A9" s="4" t="n">
        <v>5</v>
      </c>
      <c r="B9" s="5" t="s">
        <v>26</v>
      </c>
      <c r="C9" s="4" t="n">
        <f aca="false">COUNTIFS('종목 목록'!$A$2:$A$86,"국장",'종목 목록'!$C$2:$C$86,$B9,'종목 목록'!$H$2:$H$86,"&lt;&gt;탭 밖 이동")</f>
        <v>6</v>
      </c>
      <c r="D9" s="4" t="n">
        <f aca="false">COUNTIFS('종목 목록'!$A$2:$A$86,"미장",'종목 목록'!$C$2:$C$86,$B9,'종목 목록'!$H$2:$H$86,"&lt;&gt;탭 밖 이동")</f>
        <v>8</v>
      </c>
      <c r="E9" s="4" t="n">
        <f aca="false">COUNTIFS('종목 목록'!$A$2:$A$86,"일장",'종목 목록'!$C$2:$C$86,$B9,'종목 목록'!$H$2:$H$86,"&lt;&gt;탭 밖 이동")</f>
        <v>0</v>
      </c>
      <c r="F9" s="7" t="s">
        <v>27</v>
      </c>
      <c r="G9" s="7" t="s">
        <v>28</v>
      </c>
      <c r="H9" s="6" t="s">
        <v>29</v>
      </c>
    </row>
    <row r="10" customFormat="false" ht="17.15" hidden="false" customHeight="false" outlineLevel="0" collapsed="false">
      <c r="A10" s="4" t="n">
        <v>6</v>
      </c>
      <c r="B10" s="5" t="s">
        <v>30</v>
      </c>
      <c r="C10" s="4" t="n">
        <f aca="false">COUNTIFS('종목 목록'!$A$2:$A$86,"국장",'종목 목록'!$C$2:$C$86,$B10,'종목 목록'!$H$2:$H$86,"&lt;&gt;탭 밖 이동")</f>
        <v>7</v>
      </c>
      <c r="D10" s="4" t="n">
        <f aca="false">COUNTIFS('종목 목록'!$A$2:$A$86,"미장",'종목 목록'!$C$2:$C$86,$B10,'종목 목록'!$H$2:$H$86,"&lt;&gt;탭 밖 이동")</f>
        <v>2</v>
      </c>
      <c r="E10" s="4" t="n">
        <f aca="false">COUNTIFS('종목 목록'!$A$2:$A$86,"일장",'종목 목록'!$C$2:$C$86,$B10,'종목 목록'!$H$2:$H$86,"&lt;&gt;탭 밖 이동")</f>
        <v>4</v>
      </c>
      <c r="F10" s="6" t="s">
        <v>31</v>
      </c>
      <c r="G10" s="7" t="s">
        <v>32</v>
      </c>
      <c r="H10" s="7" t="s">
        <v>33</v>
      </c>
    </row>
    <row r="11" customFormat="false" ht="15" hidden="false" customHeight="false" outlineLevel="0" collapsed="false">
      <c r="B11" s="9" t="s">
        <v>34</v>
      </c>
      <c r="C11" s="10" t="n">
        <f aca="false">SUM(C5:C10)</f>
        <v>29</v>
      </c>
      <c r="D11" s="10" t="n">
        <f aca="false">SUM(D5:D10)</f>
        <v>26</v>
      </c>
      <c r="E11" s="10" t="n">
        <f aca="false">SUM(E5:E10)</f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3" min="3" style="0" width="26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1" t="s">
        <v>35</v>
      </c>
    </row>
    <row r="3" customFormat="false" ht="15" hidden="false" customHeight="false" outlineLevel="0" collapsed="false">
      <c r="A3" s="12" t="s">
        <v>36</v>
      </c>
      <c r="B3" s="12" t="s">
        <v>37</v>
      </c>
      <c r="C3" s="12" t="s">
        <v>38</v>
      </c>
      <c r="D3" s="12" t="s">
        <v>39</v>
      </c>
    </row>
    <row r="4" customFormat="false" ht="17.15" hidden="false" customHeight="false" outlineLevel="0" collapsed="false">
      <c r="A4" s="13" t="s">
        <v>4</v>
      </c>
      <c r="B4" s="14" t="s">
        <v>40</v>
      </c>
      <c r="C4" s="14" t="s">
        <v>41</v>
      </c>
      <c r="D4" s="14" t="s">
        <v>42</v>
      </c>
    </row>
    <row r="5" customFormat="false" ht="17.15" hidden="false" customHeight="false" outlineLevel="0" collapsed="false">
      <c r="A5" s="13" t="s">
        <v>4</v>
      </c>
      <c r="B5" s="14" t="s">
        <v>40</v>
      </c>
      <c r="C5" s="13" t="s">
        <v>43</v>
      </c>
      <c r="D5" s="14" t="s">
        <v>42</v>
      </c>
    </row>
    <row r="6" customFormat="false" ht="17.15" hidden="false" customHeight="false" outlineLevel="0" collapsed="false">
      <c r="A6" s="13" t="s">
        <v>4</v>
      </c>
      <c r="B6" s="14" t="s">
        <v>40</v>
      </c>
      <c r="C6" s="13" t="s">
        <v>44</v>
      </c>
      <c r="D6" s="14" t="s">
        <v>42</v>
      </c>
    </row>
    <row r="7" customFormat="false" ht="17.15" hidden="false" customHeight="false" outlineLevel="0" collapsed="false">
      <c r="A7" s="13" t="s">
        <v>4</v>
      </c>
      <c r="B7" s="14" t="s">
        <v>40</v>
      </c>
      <c r="C7" s="13" t="s">
        <v>45</v>
      </c>
      <c r="D7" s="14" t="s">
        <v>42</v>
      </c>
    </row>
    <row r="8" customFormat="false" ht="17.15" hidden="false" customHeight="false" outlineLevel="0" collapsed="false">
      <c r="A8" s="13" t="s">
        <v>4</v>
      </c>
      <c r="B8" s="14" t="s">
        <v>40</v>
      </c>
      <c r="C8" s="13" t="s">
        <v>46</v>
      </c>
      <c r="D8" s="14" t="s">
        <v>42</v>
      </c>
    </row>
    <row r="9" customFormat="false" ht="17.15" hidden="false" customHeight="false" outlineLevel="0" collapsed="false">
      <c r="A9" s="13" t="s">
        <v>4</v>
      </c>
      <c r="B9" s="14" t="s">
        <v>40</v>
      </c>
      <c r="C9" s="13" t="s">
        <v>47</v>
      </c>
      <c r="D9" s="14" t="s">
        <v>42</v>
      </c>
    </row>
    <row r="10" customFormat="false" ht="17.15" hidden="false" customHeight="false" outlineLevel="0" collapsed="false">
      <c r="A10" s="13" t="s">
        <v>4</v>
      </c>
      <c r="B10" s="14" t="s">
        <v>40</v>
      </c>
      <c r="C10" s="13" t="s">
        <v>48</v>
      </c>
      <c r="D10" s="14" t="s">
        <v>42</v>
      </c>
    </row>
    <row r="11" customFormat="false" ht="17.15" hidden="false" customHeight="false" outlineLevel="0" collapsed="false">
      <c r="A11" s="13" t="s">
        <v>4</v>
      </c>
      <c r="B11" s="14" t="s">
        <v>40</v>
      </c>
      <c r="C11" s="13" t="s">
        <v>49</v>
      </c>
      <c r="D11" s="14" t="s">
        <v>42</v>
      </c>
    </row>
    <row r="12" customFormat="false" ht="17.15" hidden="false" customHeight="false" outlineLevel="0" collapsed="false">
      <c r="A12" s="13" t="s">
        <v>4</v>
      </c>
      <c r="B12" s="14" t="s">
        <v>40</v>
      </c>
      <c r="C12" s="13" t="s">
        <v>50</v>
      </c>
      <c r="D12" s="14" t="s">
        <v>42</v>
      </c>
    </row>
    <row r="13" customFormat="false" ht="17.15" hidden="false" customHeight="false" outlineLevel="0" collapsed="false">
      <c r="A13" s="13" t="s">
        <v>4</v>
      </c>
      <c r="B13" s="14" t="s">
        <v>40</v>
      </c>
      <c r="C13" s="14" t="s">
        <v>51</v>
      </c>
      <c r="D13" s="14" t="s">
        <v>42</v>
      </c>
    </row>
    <row r="14" customFormat="false" ht="17.15" hidden="false" customHeight="false" outlineLevel="0" collapsed="false">
      <c r="A14" s="13" t="s">
        <v>4</v>
      </c>
      <c r="B14" s="14" t="s">
        <v>40</v>
      </c>
      <c r="C14" s="13" t="s">
        <v>52</v>
      </c>
      <c r="D14" s="14" t="s">
        <v>42</v>
      </c>
    </row>
    <row r="15" customFormat="false" ht="17.15" hidden="false" customHeight="false" outlineLevel="0" collapsed="false">
      <c r="A15" s="13" t="s">
        <v>4</v>
      </c>
      <c r="B15" s="14" t="s">
        <v>40</v>
      </c>
      <c r="C15" s="13" t="s">
        <v>53</v>
      </c>
      <c r="D15" s="14" t="s">
        <v>42</v>
      </c>
    </row>
    <row r="16" customFormat="false" ht="17.15" hidden="false" customHeight="false" outlineLevel="0" collapsed="false">
      <c r="A16" s="13" t="s">
        <v>4</v>
      </c>
      <c r="B16" s="14" t="s">
        <v>40</v>
      </c>
      <c r="C16" s="13" t="s">
        <v>54</v>
      </c>
      <c r="D16" s="14" t="s">
        <v>42</v>
      </c>
    </row>
    <row r="17" customFormat="false" ht="17.15" hidden="false" customHeight="false" outlineLevel="0" collapsed="false">
      <c r="A17" s="13" t="s">
        <v>4</v>
      </c>
      <c r="B17" s="14" t="s">
        <v>40</v>
      </c>
      <c r="C17" s="13" t="s">
        <v>55</v>
      </c>
      <c r="D17" s="14" t="s">
        <v>42</v>
      </c>
    </row>
    <row r="18" customFormat="false" ht="17.15" hidden="false" customHeight="false" outlineLevel="0" collapsed="false">
      <c r="A18" s="13" t="s">
        <v>4</v>
      </c>
      <c r="B18" s="14" t="s">
        <v>40</v>
      </c>
      <c r="C18" s="13" t="s">
        <v>56</v>
      </c>
      <c r="D18" s="14" t="s">
        <v>42</v>
      </c>
    </row>
    <row r="19" customFormat="false" ht="17.15" hidden="false" customHeight="false" outlineLevel="0" collapsed="false">
      <c r="A19" s="13" t="s">
        <v>4</v>
      </c>
      <c r="B19" s="14" t="s">
        <v>40</v>
      </c>
      <c r="C19" s="13" t="s">
        <v>57</v>
      </c>
      <c r="D19" s="14" t="s">
        <v>42</v>
      </c>
    </row>
    <row r="20" customFormat="false" ht="17.15" hidden="false" customHeight="false" outlineLevel="0" collapsed="false">
      <c r="A20" s="13" t="s">
        <v>4</v>
      </c>
      <c r="B20" s="14" t="s">
        <v>40</v>
      </c>
      <c r="C20" s="13" t="s">
        <v>58</v>
      </c>
      <c r="D20" s="14" t="s">
        <v>42</v>
      </c>
    </row>
    <row r="21" customFormat="false" ht="17.15" hidden="false" customHeight="false" outlineLevel="0" collapsed="false">
      <c r="A21" s="13" t="s">
        <v>4</v>
      </c>
      <c r="B21" s="14" t="s">
        <v>59</v>
      </c>
      <c r="C21" s="13" t="s">
        <v>60</v>
      </c>
      <c r="D21" s="14" t="s">
        <v>61</v>
      </c>
    </row>
    <row r="22" customFormat="false" ht="17.15" hidden="false" customHeight="false" outlineLevel="0" collapsed="false">
      <c r="A22" s="13" t="s">
        <v>4</v>
      </c>
      <c r="B22" s="14" t="s">
        <v>59</v>
      </c>
      <c r="C22" s="13" t="s">
        <v>62</v>
      </c>
      <c r="D22" s="14" t="s">
        <v>61</v>
      </c>
    </row>
    <row r="23" customFormat="false" ht="17.15" hidden="false" customHeight="false" outlineLevel="0" collapsed="false">
      <c r="A23" s="13" t="s">
        <v>4</v>
      </c>
      <c r="B23" s="14" t="s">
        <v>59</v>
      </c>
      <c r="C23" s="13" t="s">
        <v>63</v>
      </c>
      <c r="D23" s="14" t="s">
        <v>61</v>
      </c>
    </row>
    <row r="24" customFormat="false" ht="17.15" hidden="false" customHeight="false" outlineLevel="0" collapsed="false">
      <c r="A24" s="13" t="s">
        <v>5</v>
      </c>
      <c r="B24" s="13" t="s">
        <v>64</v>
      </c>
      <c r="C24" s="13" t="s">
        <v>65</v>
      </c>
      <c r="D24" s="14" t="s">
        <v>66</v>
      </c>
    </row>
    <row r="25" customFormat="false" ht="17.15" hidden="false" customHeight="false" outlineLevel="0" collapsed="false">
      <c r="A25" s="13" t="s">
        <v>5</v>
      </c>
      <c r="B25" s="13" t="s">
        <v>64</v>
      </c>
      <c r="C25" s="13" t="s">
        <v>67</v>
      </c>
      <c r="D25" s="14" t="s">
        <v>66</v>
      </c>
    </row>
    <row r="26" customFormat="false" ht="17.15" hidden="false" customHeight="false" outlineLevel="0" collapsed="false">
      <c r="A26" s="13" t="s">
        <v>5</v>
      </c>
      <c r="B26" s="13" t="s">
        <v>64</v>
      </c>
      <c r="C26" s="13" t="s">
        <v>68</v>
      </c>
      <c r="D26" s="14" t="s">
        <v>66</v>
      </c>
    </row>
    <row r="27" customFormat="false" ht="17.15" hidden="false" customHeight="false" outlineLevel="0" collapsed="false">
      <c r="A27" s="13" t="s">
        <v>5</v>
      </c>
      <c r="B27" s="13" t="s">
        <v>69</v>
      </c>
      <c r="C27" s="13" t="s">
        <v>70</v>
      </c>
      <c r="D27" s="14" t="s">
        <v>66</v>
      </c>
    </row>
    <row r="28" customFormat="false" ht="17.15" hidden="false" customHeight="false" outlineLevel="0" collapsed="false">
      <c r="A28" s="13" t="s">
        <v>5</v>
      </c>
      <c r="B28" s="13" t="s">
        <v>71</v>
      </c>
      <c r="C28" s="13" t="s">
        <v>72</v>
      </c>
      <c r="D28" s="14" t="s">
        <v>66</v>
      </c>
    </row>
    <row r="29" customFormat="false" ht="17.15" hidden="false" customHeight="false" outlineLevel="0" collapsed="false">
      <c r="A29" s="13" t="s">
        <v>5</v>
      </c>
      <c r="B29" s="13" t="s">
        <v>71</v>
      </c>
      <c r="C29" s="13" t="s">
        <v>73</v>
      </c>
      <c r="D29" s="14" t="s">
        <v>74</v>
      </c>
    </row>
    <row r="30" customFormat="false" ht="17.15" hidden="false" customHeight="false" outlineLevel="0" collapsed="false">
      <c r="A30" s="13" t="s">
        <v>5</v>
      </c>
      <c r="B30" s="13" t="s">
        <v>71</v>
      </c>
      <c r="C30" s="13" t="s">
        <v>75</v>
      </c>
      <c r="D30" s="14" t="s">
        <v>74</v>
      </c>
    </row>
    <row r="31" customFormat="false" ht="17.15" hidden="false" customHeight="false" outlineLevel="0" collapsed="false">
      <c r="A31" s="13" t="s">
        <v>5</v>
      </c>
      <c r="B31" s="13" t="s">
        <v>71</v>
      </c>
      <c r="C31" s="13" t="s">
        <v>76</v>
      </c>
      <c r="D31" s="14" t="s">
        <v>74</v>
      </c>
    </row>
    <row r="32" customFormat="false" ht="17.15" hidden="false" customHeight="false" outlineLevel="0" collapsed="false">
      <c r="A32" s="13" t="s">
        <v>5</v>
      </c>
      <c r="B32" s="13" t="s">
        <v>77</v>
      </c>
      <c r="C32" s="13" t="s">
        <v>78</v>
      </c>
      <c r="D32" s="14" t="s">
        <v>79</v>
      </c>
    </row>
    <row r="33" customFormat="false" ht="17.15" hidden="false" customHeight="false" outlineLevel="0" collapsed="false">
      <c r="A33" s="13" t="s">
        <v>5</v>
      </c>
      <c r="B33" s="13" t="s">
        <v>77</v>
      </c>
      <c r="C33" s="13" t="s">
        <v>80</v>
      </c>
      <c r="D33" s="14" t="s">
        <v>79</v>
      </c>
    </row>
    <row r="34" customFormat="false" ht="17.15" hidden="false" customHeight="false" outlineLevel="0" collapsed="false">
      <c r="A34" s="13" t="s">
        <v>5</v>
      </c>
      <c r="B34" s="13" t="s">
        <v>77</v>
      </c>
      <c r="C34" s="13" t="s">
        <v>81</v>
      </c>
      <c r="D34" s="14" t="s">
        <v>79</v>
      </c>
    </row>
    <row r="35" customFormat="false" ht="17.15" hidden="false" customHeight="false" outlineLevel="0" collapsed="false">
      <c r="A35" s="13" t="s">
        <v>5</v>
      </c>
      <c r="B35" s="13" t="s">
        <v>77</v>
      </c>
      <c r="C35" s="14" t="s">
        <v>82</v>
      </c>
      <c r="D35" s="14" t="s">
        <v>79</v>
      </c>
    </row>
    <row r="36" customFormat="false" ht="17.15" hidden="false" customHeight="false" outlineLevel="0" collapsed="false">
      <c r="A36" s="13" t="s">
        <v>5</v>
      </c>
      <c r="B36" s="13" t="s">
        <v>77</v>
      </c>
      <c r="C36" s="13" t="s">
        <v>83</v>
      </c>
      <c r="D36" s="14" t="s">
        <v>79</v>
      </c>
    </row>
    <row r="37" customFormat="false" ht="17.15" hidden="false" customHeight="false" outlineLevel="0" collapsed="false">
      <c r="A37" s="13" t="s">
        <v>5</v>
      </c>
      <c r="B37" s="13" t="s">
        <v>77</v>
      </c>
      <c r="C37" s="13" t="s">
        <v>84</v>
      </c>
      <c r="D37" s="14" t="s">
        <v>79</v>
      </c>
    </row>
    <row r="38" customFormat="false" ht="17.15" hidden="false" customHeight="false" outlineLevel="0" collapsed="false">
      <c r="A38" s="13" t="s">
        <v>5</v>
      </c>
      <c r="B38" s="13" t="s">
        <v>77</v>
      </c>
      <c r="C38" s="13" t="s">
        <v>85</v>
      </c>
      <c r="D38" s="14" t="s">
        <v>79</v>
      </c>
    </row>
    <row r="39" customFormat="false" ht="17.15" hidden="false" customHeight="false" outlineLevel="0" collapsed="false">
      <c r="A39" s="13" t="s">
        <v>5</v>
      </c>
      <c r="B39" s="13" t="s">
        <v>77</v>
      </c>
      <c r="C39" s="13" t="s">
        <v>86</v>
      </c>
      <c r="D39" s="14" t="s">
        <v>79</v>
      </c>
    </row>
    <row r="40" customFormat="false" ht="17.15" hidden="false" customHeight="false" outlineLevel="0" collapsed="false">
      <c r="A40" s="13" t="s">
        <v>6</v>
      </c>
      <c r="B40" s="13" t="s">
        <v>87</v>
      </c>
      <c r="C40" s="14" t="s">
        <v>88</v>
      </c>
      <c r="D40" s="14" t="s">
        <v>66</v>
      </c>
    </row>
    <row r="41" customFormat="false" ht="17.15" hidden="false" customHeight="false" outlineLevel="0" collapsed="false">
      <c r="A41" s="13" t="s">
        <v>6</v>
      </c>
      <c r="B41" s="13" t="s">
        <v>87</v>
      </c>
      <c r="C41" s="13" t="s">
        <v>89</v>
      </c>
      <c r="D41" s="14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"/>
    <col collapsed="false" customWidth="true" hidden="false" outlineLevel="0" max="3" min="3" style="0" width="26"/>
    <col collapsed="false" customWidth="true" hidden="false" outlineLevel="0" max="4" min="4" style="0" width="42"/>
    <col collapsed="false" customWidth="true" hidden="false" outlineLevel="0" max="5" min="5" style="0" width="40"/>
    <col collapsed="false" customWidth="true" hidden="false" outlineLevel="0" max="6" min="6" style="0" width="22"/>
  </cols>
  <sheetData>
    <row r="1" customFormat="false" ht="17.35" hidden="false" customHeight="false" outlineLevel="0" collapsed="false">
      <c r="A1" s="11" t="s">
        <v>90</v>
      </c>
    </row>
    <row r="3" customFormat="false" ht="17.15" hidden="false" customHeight="false" outlineLevel="0" collapsed="false">
      <c r="A3" s="12" t="s">
        <v>91</v>
      </c>
      <c r="B3" s="12" t="s">
        <v>36</v>
      </c>
      <c r="C3" s="12" t="s">
        <v>92</v>
      </c>
      <c r="D3" s="12" t="s">
        <v>93</v>
      </c>
      <c r="E3" s="12" t="s">
        <v>94</v>
      </c>
      <c r="F3" s="12" t="s">
        <v>95</v>
      </c>
    </row>
    <row r="4" customFormat="false" ht="17.15" hidden="false" customHeight="false" outlineLevel="0" collapsed="false">
      <c r="A4" s="7" t="s">
        <v>96</v>
      </c>
      <c r="B4" s="7" t="s">
        <v>4</v>
      </c>
      <c r="C4" s="7" t="s">
        <v>97</v>
      </c>
      <c r="D4" s="7" t="s">
        <v>98</v>
      </c>
      <c r="E4" s="6" t="s">
        <v>99</v>
      </c>
      <c r="F4" s="15"/>
    </row>
    <row r="5" customFormat="false" ht="17.15" hidden="false" customHeight="false" outlineLevel="0" collapsed="false">
      <c r="A5" s="7" t="s">
        <v>100</v>
      </c>
      <c r="B5" s="7" t="s">
        <v>4</v>
      </c>
      <c r="C5" s="7" t="s">
        <v>101</v>
      </c>
      <c r="D5" s="7" t="s">
        <v>102</v>
      </c>
      <c r="E5" s="7" t="s">
        <v>103</v>
      </c>
      <c r="F5" s="15"/>
    </row>
    <row r="6" customFormat="false" ht="17.15" hidden="false" customHeight="false" outlineLevel="0" collapsed="false">
      <c r="A6" s="7" t="s">
        <v>104</v>
      </c>
      <c r="B6" s="7" t="s">
        <v>4</v>
      </c>
      <c r="C6" s="7" t="s">
        <v>105</v>
      </c>
      <c r="D6" s="7" t="s">
        <v>106</v>
      </c>
      <c r="E6" s="6" t="s">
        <v>107</v>
      </c>
      <c r="F6" s="15"/>
    </row>
    <row r="7" customFormat="false" ht="32.8" hidden="false" customHeight="false" outlineLevel="0" collapsed="false">
      <c r="A7" s="7" t="s">
        <v>108</v>
      </c>
      <c r="B7" s="7" t="s">
        <v>4</v>
      </c>
      <c r="C7" s="7" t="s">
        <v>109</v>
      </c>
      <c r="D7" s="7" t="s">
        <v>110</v>
      </c>
      <c r="E7" s="7" t="s">
        <v>111</v>
      </c>
      <c r="F7" s="15"/>
    </row>
    <row r="8" customFormat="false" ht="17.15" hidden="false" customHeight="false" outlineLevel="0" collapsed="false">
      <c r="A8" s="7" t="s">
        <v>112</v>
      </c>
      <c r="B8" s="7" t="s">
        <v>6</v>
      </c>
      <c r="C8" s="6" t="s">
        <v>113</v>
      </c>
      <c r="D8" s="7" t="s">
        <v>114</v>
      </c>
      <c r="E8" s="7" t="s">
        <v>115</v>
      </c>
      <c r="F8" s="15"/>
    </row>
    <row r="9" customFormat="false" ht="32.8" hidden="false" customHeight="false" outlineLevel="0" collapsed="false">
      <c r="A9" s="7" t="s">
        <v>116</v>
      </c>
      <c r="B9" s="7" t="s">
        <v>117</v>
      </c>
      <c r="C9" s="6" t="s">
        <v>118</v>
      </c>
      <c r="D9" s="7" t="s">
        <v>119</v>
      </c>
      <c r="E9" s="6" t="s">
        <v>120</v>
      </c>
      <c r="F9" s="15"/>
    </row>
    <row r="10" customFormat="false" ht="17.15" hidden="false" customHeight="false" outlineLevel="0" collapsed="false">
      <c r="A10" s="7" t="s">
        <v>121</v>
      </c>
      <c r="B10" s="7" t="s">
        <v>5</v>
      </c>
      <c r="C10" s="7" t="s">
        <v>122</v>
      </c>
      <c r="D10" s="6" t="s">
        <v>123</v>
      </c>
      <c r="E10" s="6" t="s">
        <v>124</v>
      </c>
      <c r="F10" s="15"/>
    </row>
    <row r="11" customFormat="false" ht="32.8" hidden="false" customHeight="false" outlineLevel="0" collapsed="false">
      <c r="A11" s="7" t="s">
        <v>125</v>
      </c>
      <c r="B11" s="7" t="s">
        <v>6</v>
      </c>
      <c r="C11" s="7" t="s">
        <v>126</v>
      </c>
      <c r="D11" s="7" t="s">
        <v>127</v>
      </c>
      <c r="E11" s="7" t="s">
        <v>128</v>
      </c>
      <c r="F11" s="15"/>
    </row>
    <row r="13" customFormat="false" ht="15" hidden="false" customHeight="false" outlineLevel="0" collapsed="false">
      <c r="A13" s="16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3" min="3" style="0" width="14"/>
    <col collapsed="false" customWidth="true" hidden="false" outlineLevel="0" max="5" min="4" style="0" width="28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48"/>
  </cols>
  <sheetData>
    <row r="1" customFormat="false" ht="17.15" hidden="false" customHeight="false" outlineLevel="0" collapsed="false">
      <c r="A1" s="12" t="s">
        <v>36</v>
      </c>
      <c r="B1" s="12" t="s">
        <v>130</v>
      </c>
      <c r="C1" s="12" t="s">
        <v>3</v>
      </c>
      <c r="D1" s="12" t="s">
        <v>131</v>
      </c>
      <c r="E1" s="12" t="s">
        <v>38</v>
      </c>
      <c r="F1" s="12" t="s">
        <v>132</v>
      </c>
      <c r="G1" s="12" t="s">
        <v>133</v>
      </c>
      <c r="H1" s="12" t="s">
        <v>134</v>
      </c>
      <c r="I1" s="12" t="s">
        <v>135</v>
      </c>
    </row>
    <row r="2" customFormat="false" ht="17.15" hidden="false" customHeight="false" outlineLevel="0" collapsed="false">
      <c r="A2" s="17" t="s">
        <v>4</v>
      </c>
      <c r="B2" s="18" t="n">
        <v>1</v>
      </c>
      <c r="C2" s="17" t="s">
        <v>10</v>
      </c>
      <c r="D2" s="19" t="s">
        <v>40</v>
      </c>
      <c r="E2" s="19" t="s">
        <v>136</v>
      </c>
      <c r="F2" s="20" t="s">
        <v>137</v>
      </c>
      <c r="G2" s="20" t="s">
        <v>137</v>
      </c>
      <c r="H2" s="17" t="s">
        <v>138</v>
      </c>
      <c r="I2" s="17" t="s">
        <v>139</v>
      </c>
    </row>
    <row r="3" customFormat="false" ht="17.15" hidden="false" customHeight="false" outlineLevel="0" collapsed="false">
      <c r="A3" s="17" t="s">
        <v>4</v>
      </c>
      <c r="B3" s="18" t="n">
        <v>1</v>
      </c>
      <c r="C3" s="17" t="s">
        <v>10</v>
      </c>
      <c r="D3" s="19" t="s">
        <v>40</v>
      </c>
      <c r="E3" s="17" t="s">
        <v>140</v>
      </c>
      <c r="F3" s="20" t="s">
        <v>141</v>
      </c>
      <c r="G3" s="20" t="s">
        <v>141</v>
      </c>
      <c r="H3" s="17" t="s">
        <v>138</v>
      </c>
      <c r="I3" s="17" t="s">
        <v>139</v>
      </c>
    </row>
    <row r="4" customFormat="false" ht="17.15" hidden="false" customHeight="false" outlineLevel="0" collapsed="false">
      <c r="A4" s="17" t="s">
        <v>4</v>
      </c>
      <c r="B4" s="18" t="n">
        <v>1</v>
      </c>
      <c r="C4" s="17" t="s">
        <v>10</v>
      </c>
      <c r="D4" s="17" t="s">
        <v>142</v>
      </c>
      <c r="E4" s="17" t="s">
        <v>143</v>
      </c>
      <c r="F4" s="20" t="s">
        <v>144</v>
      </c>
      <c r="G4" s="20" t="s">
        <v>144</v>
      </c>
      <c r="H4" s="17" t="s">
        <v>145</v>
      </c>
      <c r="I4" s="17" t="s">
        <v>146</v>
      </c>
    </row>
    <row r="5" customFormat="false" ht="17.15" hidden="false" customHeight="false" outlineLevel="0" collapsed="false">
      <c r="A5" s="17" t="s">
        <v>4</v>
      </c>
      <c r="B5" s="18" t="n">
        <v>2</v>
      </c>
      <c r="C5" s="19" t="s">
        <v>14</v>
      </c>
      <c r="D5" s="19" t="s">
        <v>147</v>
      </c>
      <c r="E5" s="17" t="s">
        <v>148</v>
      </c>
      <c r="F5" s="20" t="s">
        <v>149</v>
      </c>
      <c r="G5" s="20" t="s">
        <v>149</v>
      </c>
      <c r="H5" s="17" t="s">
        <v>138</v>
      </c>
      <c r="I5" s="19" t="s">
        <v>150</v>
      </c>
    </row>
    <row r="6" customFormat="false" ht="17.15" hidden="false" customHeight="false" outlineLevel="0" collapsed="false">
      <c r="A6" s="17" t="s">
        <v>4</v>
      </c>
      <c r="B6" s="18" t="n">
        <v>2</v>
      </c>
      <c r="C6" s="19" t="s">
        <v>14</v>
      </c>
      <c r="D6" s="17" t="s">
        <v>142</v>
      </c>
      <c r="E6" s="17" t="s">
        <v>151</v>
      </c>
      <c r="F6" s="20" t="s">
        <v>152</v>
      </c>
      <c r="G6" s="20" t="s">
        <v>152</v>
      </c>
      <c r="H6" s="17" t="s">
        <v>145</v>
      </c>
      <c r="I6" s="17" t="s">
        <v>153</v>
      </c>
    </row>
    <row r="7" customFormat="false" ht="17.15" hidden="false" customHeight="false" outlineLevel="0" collapsed="false">
      <c r="A7" s="17" t="s">
        <v>4</v>
      </c>
      <c r="B7" s="18" t="n">
        <v>2</v>
      </c>
      <c r="C7" s="19" t="s">
        <v>14</v>
      </c>
      <c r="D7" s="17" t="s">
        <v>142</v>
      </c>
      <c r="E7" s="17" t="s">
        <v>154</v>
      </c>
      <c r="F7" s="20" t="s">
        <v>155</v>
      </c>
      <c r="G7" s="20" t="s">
        <v>155</v>
      </c>
      <c r="H7" s="17" t="s">
        <v>145</v>
      </c>
      <c r="I7" s="17" t="s">
        <v>156</v>
      </c>
    </row>
    <row r="8" customFormat="false" ht="17.15" hidden="false" customHeight="false" outlineLevel="0" collapsed="false">
      <c r="A8" s="17" t="s">
        <v>4</v>
      </c>
      <c r="B8" s="18" t="n">
        <v>3</v>
      </c>
      <c r="C8" s="19" t="s">
        <v>18</v>
      </c>
      <c r="D8" s="17" t="s">
        <v>142</v>
      </c>
      <c r="E8" s="17" t="s">
        <v>157</v>
      </c>
      <c r="F8" s="20" t="s">
        <v>158</v>
      </c>
      <c r="G8" s="20" t="s">
        <v>158</v>
      </c>
      <c r="H8" s="17" t="s">
        <v>145</v>
      </c>
      <c r="I8" s="19" t="s">
        <v>159</v>
      </c>
    </row>
    <row r="9" customFormat="false" ht="17.15" hidden="false" customHeight="false" outlineLevel="0" collapsed="false">
      <c r="A9" s="17" t="s">
        <v>4</v>
      </c>
      <c r="B9" s="18" t="n">
        <v>3</v>
      </c>
      <c r="C9" s="19" t="s">
        <v>18</v>
      </c>
      <c r="D9" s="17" t="s">
        <v>142</v>
      </c>
      <c r="E9" s="17" t="s">
        <v>160</v>
      </c>
      <c r="F9" s="20" t="s">
        <v>161</v>
      </c>
      <c r="G9" s="20" t="s">
        <v>161</v>
      </c>
      <c r="H9" s="17" t="s">
        <v>145</v>
      </c>
      <c r="I9" s="19" t="s">
        <v>162</v>
      </c>
    </row>
    <row r="10" customFormat="false" ht="17.15" hidden="false" customHeight="false" outlineLevel="0" collapsed="false">
      <c r="A10" s="17" t="s">
        <v>4</v>
      </c>
      <c r="B10" s="18" t="n">
        <v>4</v>
      </c>
      <c r="C10" s="17" t="s">
        <v>22</v>
      </c>
      <c r="D10" s="19" t="s">
        <v>147</v>
      </c>
      <c r="E10" s="17" t="s">
        <v>163</v>
      </c>
      <c r="F10" s="20" t="s">
        <v>164</v>
      </c>
      <c r="G10" s="20" t="s">
        <v>164</v>
      </c>
      <c r="H10" s="17" t="s">
        <v>165</v>
      </c>
      <c r="I10" s="19"/>
    </row>
    <row r="11" customFormat="false" ht="17.15" hidden="false" customHeight="false" outlineLevel="0" collapsed="false">
      <c r="A11" s="17" t="s">
        <v>4</v>
      </c>
      <c r="B11" s="18" t="n">
        <v>4</v>
      </c>
      <c r="C11" s="17" t="s">
        <v>22</v>
      </c>
      <c r="D11" s="19" t="s">
        <v>147</v>
      </c>
      <c r="E11" s="17" t="s">
        <v>166</v>
      </c>
      <c r="F11" s="20" t="s">
        <v>167</v>
      </c>
      <c r="G11" s="20" t="s">
        <v>167</v>
      </c>
      <c r="H11" s="17" t="s">
        <v>165</v>
      </c>
      <c r="I11" s="19"/>
    </row>
    <row r="12" customFormat="false" ht="17.15" hidden="false" customHeight="false" outlineLevel="0" collapsed="false">
      <c r="A12" s="17" t="s">
        <v>4</v>
      </c>
      <c r="B12" s="18" t="n">
        <v>4</v>
      </c>
      <c r="C12" s="17" t="s">
        <v>22</v>
      </c>
      <c r="D12" s="19" t="s">
        <v>147</v>
      </c>
      <c r="E12" s="17" t="s">
        <v>168</v>
      </c>
      <c r="F12" s="20" t="s">
        <v>169</v>
      </c>
      <c r="G12" s="20" t="s">
        <v>169</v>
      </c>
      <c r="H12" s="17" t="s">
        <v>165</v>
      </c>
      <c r="I12" s="19"/>
    </row>
    <row r="13" customFormat="false" ht="17.15" hidden="false" customHeight="false" outlineLevel="0" collapsed="false">
      <c r="A13" s="17" t="s">
        <v>4</v>
      </c>
      <c r="B13" s="18" t="n">
        <v>4</v>
      </c>
      <c r="C13" s="17" t="s">
        <v>22</v>
      </c>
      <c r="D13" s="19" t="s">
        <v>147</v>
      </c>
      <c r="E13" s="17" t="s">
        <v>96</v>
      </c>
      <c r="F13" s="20" t="s">
        <v>170</v>
      </c>
      <c r="G13" s="20" t="s">
        <v>170</v>
      </c>
      <c r="H13" s="17" t="s">
        <v>165</v>
      </c>
      <c r="I13" s="17" t="s">
        <v>171</v>
      </c>
    </row>
    <row r="14" customFormat="false" ht="17.15" hidden="false" customHeight="false" outlineLevel="0" collapsed="false">
      <c r="A14" s="17" t="s">
        <v>4</v>
      </c>
      <c r="B14" s="18" t="n">
        <v>4</v>
      </c>
      <c r="C14" s="17" t="s">
        <v>22</v>
      </c>
      <c r="D14" s="19" t="s">
        <v>147</v>
      </c>
      <c r="E14" s="17" t="s">
        <v>172</v>
      </c>
      <c r="F14" s="20" t="s">
        <v>173</v>
      </c>
      <c r="G14" s="20" t="s">
        <v>173</v>
      </c>
      <c r="H14" s="17" t="s">
        <v>165</v>
      </c>
      <c r="I14" s="19"/>
    </row>
    <row r="15" customFormat="false" ht="17.15" hidden="false" customHeight="false" outlineLevel="0" collapsed="false">
      <c r="A15" s="17" t="s">
        <v>4</v>
      </c>
      <c r="B15" s="18" t="n">
        <v>4</v>
      </c>
      <c r="C15" s="17" t="s">
        <v>22</v>
      </c>
      <c r="D15" s="19" t="s">
        <v>147</v>
      </c>
      <c r="E15" s="17" t="s">
        <v>174</v>
      </c>
      <c r="F15" s="20" t="s">
        <v>175</v>
      </c>
      <c r="G15" s="20" t="s">
        <v>175</v>
      </c>
      <c r="H15" s="17" t="s">
        <v>165</v>
      </c>
      <c r="I15" s="19"/>
    </row>
    <row r="16" customFormat="false" ht="17.15" hidden="false" customHeight="false" outlineLevel="0" collapsed="false">
      <c r="A16" s="17" t="s">
        <v>4</v>
      </c>
      <c r="B16" s="18" t="n">
        <v>4</v>
      </c>
      <c r="C16" s="17" t="s">
        <v>22</v>
      </c>
      <c r="D16" s="19" t="s">
        <v>147</v>
      </c>
      <c r="E16" s="17" t="s">
        <v>176</v>
      </c>
      <c r="F16" s="20" t="s">
        <v>177</v>
      </c>
      <c r="G16" s="20" t="s">
        <v>177</v>
      </c>
      <c r="H16" s="17" t="s">
        <v>165</v>
      </c>
      <c r="I16" s="19"/>
    </row>
    <row r="17" customFormat="false" ht="17.15" hidden="false" customHeight="false" outlineLevel="0" collapsed="false">
      <c r="A17" s="17" t="s">
        <v>4</v>
      </c>
      <c r="B17" s="18" t="n">
        <v>4</v>
      </c>
      <c r="C17" s="17" t="s">
        <v>22</v>
      </c>
      <c r="D17" s="19" t="s">
        <v>147</v>
      </c>
      <c r="E17" s="17" t="s">
        <v>178</v>
      </c>
      <c r="F17" s="20" t="s">
        <v>179</v>
      </c>
      <c r="G17" s="20" t="s">
        <v>179</v>
      </c>
      <c r="H17" s="17" t="s">
        <v>165</v>
      </c>
      <c r="I17" s="19"/>
    </row>
    <row r="18" customFormat="false" ht="17.15" hidden="false" customHeight="false" outlineLevel="0" collapsed="false">
      <c r="A18" s="17" t="s">
        <v>4</v>
      </c>
      <c r="B18" s="18" t="n">
        <v>5</v>
      </c>
      <c r="C18" s="17" t="s">
        <v>26</v>
      </c>
      <c r="D18" s="19" t="s">
        <v>180</v>
      </c>
      <c r="E18" s="17" t="s">
        <v>181</v>
      </c>
      <c r="F18" s="20" t="s">
        <v>182</v>
      </c>
      <c r="G18" s="20" t="s">
        <v>182</v>
      </c>
      <c r="H18" s="17" t="s">
        <v>165</v>
      </c>
      <c r="I18" s="17" t="s">
        <v>183</v>
      </c>
    </row>
    <row r="19" customFormat="false" ht="17.15" hidden="false" customHeight="false" outlineLevel="0" collapsed="false">
      <c r="A19" s="17" t="s">
        <v>4</v>
      </c>
      <c r="B19" s="18" t="n">
        <v>5</v>
      </c>
      <c r="C19" s="17" t="s">
        <v>26</v>
      </c>
      <c r="D19" s="19" t="s">
        <v>180</v>
      </c>
      <c r="E19" s="17" t="s">
        <v>184</v>
      </c>
      <c r="F19" s="20" t="s">
        <v>185</v>
      </c>
      <c r="G19" s="20" t="s">
        <v>185</v>
      </c>
      <c r="H19" s="17" t="s">
        <v>165</v>
      </c>
      <c r="I19" s="17" t="s">
        <v>183</v>
      </c>
    </row>
    <row r="20" customFormat="false" ht="17.15" hidden="false" customHeight="false" outlineLevel="0" collapsed="false">
      <c r="A20" s="17" t="s">
        <v>4</v>
      </c>
      <c r="B20" s="18" t="n">
        <v>5</v>
      </c>
      <c r="C20" s="17" t="s">
        <v>26</v>
      </c>
      <c r="D20" s="19" t="s">
        <v>180</v>
      </c>
      <c r="E20" s="17" t="s">
        <v>186</v>
      </c>
      <c r="F20" s="20" t="s">
        <v>187</v>
      </c>
      <c r="G20" s="20" t="s">
        <v>187</v>
      </c>
      <c r="H20" s="17" t="s">
        <v>165</v>
      </c>
      <c r="I20" s="17" t="s">
        <v>183</v>
      </c>
    </row>
    <row r="21" customFormat="false" ht="17.15" hidden="false" customHeight="false" outlineLevel="0" collapsed="false">
      <c r="A21" s="17" t="s">
        <v>4</v>
      </c>
      <c r="B21" s="18" t="n">
        <v>5</v>
      </c>
      <c r="C21" s="17" t="s">
        <v>26</v>
      </c>
      <c r="D21" s="19" t="s">
        <v>180</v>
      </c>
      <c r="E21" s="17" t="s">
        <v>108</v>
      </c>
      <c r="F21" s="20" t="s">
        <v>188</v>
      </c>
      <c r="G21" s="20" t="s">
        <v>188</v>
      </c>
      <c r="H21" s="17" t="s">
        <v>165</v>
      </c>
      <c r="I21" s="17" t="s">
        <v>189</v>
      </c>
    </row>
    <row r="22" customFormat="false" ht="17.15" hidden="false" customHeight="false" outlineLevel="0" collapsed="false">
      <c r="A22" s="17" t="s">
        <v>4</v>
      </c>
      <c r="B22" s="18" t="n">
        <v>5</v>
      </c>
      <c r="C22" s="17" t="s">
        <v>26</v>
      </c>
      <c r="D22" s="19" t="s">
        <v>180</v>
      </c>
      <c r="E22" s="17" t="s">
        <v>190</v>
      </c>
      <c r="F22" s="20" t="s">
        <v>191</v>
      </c>
      <c r="G22" s="20" t="s">
        <v>191</v>
      </c>
      <c r="H22" s="17" t="s">
        <v>165</v>
      </c>
      <c r="I22" s="17" t="s">
        <v>183</v>
      </c>
    </row>
    <row r="23" customFormat="false" ht="17.15" hidden="false" customHeight="false" outlineLevel="0" collapsed="false">
      <c r="A23" s="17" t="s">
        <v>4</v>
      </c>
      <c r="B23" s="18" t="n">
        <v>5</v>
      </c>
      <c r="C23" s="17" t="s">
        <v>26</v>
      </c>
      <c r="D23" s="19" t="s">
        <v>180</v>
      </c>
      <c r="E23" s="17" t="s">
        <v>192</v>
      </c>
      <c r="F23" s="20" t="s">
        <v>193</v>
      </c>
      <c r="G23" s="20" t="s">
        <v>193</v>
      </c>
      <c r="H23" s="17" t="s">
        <v>165</v>
      </c>
      <c r="I23" s="17" t="s">
        <v>183</v>
      </c>
    </row>
    <row r="24" customFormat="false" ht="17.15" hidden="false" customHeight="false" outlineLevel="0" collapsed="false">
      <c r="A24" s="17" t="s">
        <v>4</v>
      </c>
      <c r="B24" s="18" t="n">
        <v>6</v>
      </c>
      <c r="C24" s="17" t="s">
        <v>30</v>
      </c>
      <c r="D24" s="19" t="s">
        <v>194</v>
      </c>
      <c r="E24" s="19" t="s">
        <v>195</v>
      </c>
      <c r="F24" s="20" t="s">
        <v>196</v>
      </c>
      <c r="G24" s="20" t="s">
        <v>196</v>
      </c>
      <c r="H24" s="17" t="s">
        <v>165</v>
      </c>
      <c r="I24" s="19"/>
    </row>
    <row r="25" customFormat="false" ht="17.15" hidden="false" customHeight="false" outlineLevel="0" collapsed="false">
      <c r="A25" s="17" t="s">
        <v>4</v>
      </c>
      <c r="B25" s="18" t="n">
        <v>6</v>
      </c>
      <c r="C25" s="17" t="s">
        <v>30</v>
      </c>
      <c r="D25" s="19" t="s">
        <v>194</v>
      </c>
      <c r="E25" s="17" t="s">
        <v>197</v>
      </c>
      <c r="F25" s="20" t="s">
        <v>198</v>
      </c>
      <c r="G25" s="20" t="s">
        <v>198</v>
      </c>
      <c r="H25" s="17" t="s">
        <v>165</v>
      </c>
      <c r="I25" s="19"/>
    </row>
    <row r="26" customFormat="false" ht="17.15" hidden="false" customHeight="false" outlineLevel="0" collapsed="false">
      <c r="A26" s="17" t="s">
        <v>4</v>
      </c>
      <c r="B26" s="18" t="n">
        <v>6</v>
      </c>
      <c r="C26" s="17" t="s">
        <v>30</v>
      </c>
      <c r="D26" s="19" t="s">
        <v>194</v>
      </c>
      <c r="E26" s="17" t="s">
        <v>199</v>
      </c>
      <c r="F26" s="20" t="s">
        <v>200</v>
      </c>
      <c r="G26" s="20" t="s">
        <v>200</v>
      </c>
      <c r="H26" s="17" t="s">
        <v>165</v>
      </c>
      <c r="I26" s="19"/>
    </row>
    <row r="27" customFormat="false" ht="17.15" hidden="false" customHeight="false" outlineLevel="0" collapsed="false">
      <c r="A27" s="17" t="s">
        <v>4</v>
      </c>
      <c r="B27" s="18" t="n">
        <v>6</v>
      </c>
      <c r="C27" s="17" t="s">
        <v>30</v>
      </c>
      <c r="D27" s="19" t="s">
        <v>194</v>
      </c>
      <c r="E27" s="17" t="s">
        <v>201</v>
      </c>
      <c r="F27" s="20" t="s">
        <v>202</v>
      </c>
      <c r="G27" s="20" t="s">
        <v>202</v>
      </c>
      <c r="H27" s="17" t="s">
        <v>165</v>
      </c>
      <c r="I27" s="19"/>
    </row>
    <row r="28" customFormat="false" ht="17.15" hidden="false" customHeight="false" outlineLevel="0" collapsed="false">
      <c r="A28" s="17" t="s">
        <v>4</v>
      </c>
      <c r="B28" s="18" t="n">
        <v>6</v>
      </c>
      <c r="C28" s="17" t="s">
        <v>30</v>
      </c>
      <c r="D28" s="19" t="s">
        <v>194</v>
      </c>
      <c r="E28" s="17" t="s">
        <v>203</v>
      </c>
      <c r="F28" s="20" t="s">
        <v>204</v>
      </c>
      <c r="G28" s="20" t="s">
        <v>204</v>
      </c>
      <c r="H28" s="17" t="s">
        <v>165</v>
      </c>
      <c r="I28" s="19"/>
    </row>
    <row r="29" customFormat="false" ht="17.15" hidden="false" customHeight="false" outlineLevel="0" collapsed="false">
      <c r="A29" s="17" t="s">
        <v>4</v>
      </c>
      <c r="B29" s="18" t="n">
        <v>6</v>
      </c>
      <c r="C29" s="17" t="s">
        <v>30</v>
      </c>
      <c r="D29" s="19" t="s">
        <v>194</v>
      </c>
      <c r="E29" s="17" t="s">
        <v>205</v>
      </c>
      <c r="F29" s="20" t="s">
        <v>206</v>
      </c>
      <c r="G29" s="20" t="s">
        <v>206</v>
      </c>
      <c r="H29" s="17" t="s">
        <v>165</v>
      </c>
      <c r="I29" s="19"/>
    </row>
    <row r="30" customFormat="false" ht="17.15" hidden="false" customHeight="false" outlineLevel="0" collapsed="false">
      <c r="A30" s="17" t="s">
        <v>4</v>
      </c>
      <c r="B30" s="18" t="n">
        <v>6</v>
      </c>
      <c r="C30" s="17" t="s">
        <v>30</v>
      </c>
      <c r="D30" s="17" t="s">
        <v>142</v>
      </c>
      <c r="E30" s="17" t="s">
        <v>207</v>
      </c>
      <c r="F30" s="20" t="s">
        <v>208</v>
      </c>
      <c r="G30" s="20" t="s">
        <v>208</v>
      </c>
      <c r="H30" s="17" t="s">
        <v>145</v>
      </c>
      <c r="I30" s="17" t="s">
        <v>209</v>
      </c>
    </row>
    <row r="31" customFormat="false" ht="17.15" hidden="false" customHeight="false" outlineLevel="0" collapsed="false">
      <c r="A31" s="17" t="s">
        <v>4</v>
      </c>
      <c r="B31" s="18"/>
      <c r="C31" s="19" t="s">
        <v>42</v>
      </c>
      <c r="D31" s="19" t="s">
        <v>40</v>
      </c>
      <c r="E31" s="19" t="s">
        <v>41</v>
      </c>
      <c r="F31" s="20" t="s">
        <v>210</v>
      </c>
      <c r="G31" s="20" t="s">
        <v>210</v>
      </c>
      <c r="H31" s="17" t="s">
        <v>105</v>
      </c>
      <c r="I31" s="19" t="s">
        <v>211</v>
      </c>
    </row>
    <row r="32" customFormat="false" ht="17.15" hidden="false" customHeight="false" outlineLevel="0" collapsed="false">
      <c r="A32" s="17" t="s">
        <v>4</v>
      </c>
      <c r="B32" s="18"/>
      <c r="C32" s="19" t="s">
        <v>42</v>
      </c>
      <c r="D32" s="19" t="s">
        <v>40</v>
      </c>
      <c r="E32" s="17" t="s">
        <v>43</v>
      </c>
      <c r="F32" s="20" t="s">
        <v>212</v>
      </c>
      <c r="G32" s="20" t="s">
        <v>212</v>
      </c>
      <c r="H32" s="17" t="s">
        <v>105</v>
      </c>
      <c r="I32" s="19" t="s">
        <v>211</v>
      </c>
    </row>
    <row r="33" customFormat="false" ht="17.15" hidden="false" customHeight="false" outlineLevel="0" collapsed="false">
      <c r="A33" s="17" t="s">
        <v>4</v>
      </c>
      <c r="B33" s="18"/>
      <c r="C33" s="19" t="s">
        <v>42</v>
      </c>
      <c r="D33" s="19" t="s">
        <v>40</v>
      </c>
      <c r="E33" s="17" t="s">
        <v>44</v>
      </c>
      <c r="F33" s="20" t="s">
        <v>213</v>
      </c>
      <c r="G33" s="20" t="s">
        <v>213</v>
      </c>
      <c r="H33" s="17" t="s">
        <v>105</v>
      </c>
      <c r="I33" s="19" t="s">
        <v>211</v>
      </c>
    </row>
    <row r="34" customFormat="false" ht="17.15" hidden="false" customHeight="false" outlineLevel="0" collapsed="false">
      <c r="A34" s="17" t="s">
        <v>4</v>
      </c>
      <c r="B34" s="18"/>
      <c r="C34" s="19" t="s">
        <v>42</v>
      </c>
      <c r="D34" s="19" t="s">
        <v>40</v>
      </c>
      <c r="E34" s="17" t="s">
        <v>45</v>
      </c>
      <c r="F34" s="20" t="s">
        <v>214</v>
      </c>
      <c r="G34" s="20" t="s">
        <v>214</v>
      </c>
      <c r="H34" s="17" t="s">
        <v>105</v>
      </c>
      <c r="I34" s="19" t="s">
        <v>211</v>
      </c>
    </row>
    <row r="35" customFormat="false" ht="17.15" hidden="false" customHeight="false" outlineLevel="0" collapsed="false">
      <c r="A35" s="17" t="s">
        <v>4</v>
      </c>
      <c r="B35" s="18"/>
      <c r="C35" s="19" t="s">
        <v>42</v>
      </c>
      <c r="D35" s="19" t="s">
        <v>40</v>
      </c>
      <c r="E35" s="17" t="s">
        <v>46</v>
      </c>
      <c r="F35" s="20" t="s">
        <v>215</v>
      </c>
      <c r="G35" s="20" t="s">
        <v>215</v>
      </c>
      <c r="H35" s="17" t="s">
        <v>105</v>
      </c>
      <c r="I35" s="19" t="s">
        <v>211</v>
      </c>
    </row>
    <row r="36" customFormat="false" ht="17.15" hidden="false" customHeight="false" outlineLevel="0" collapsed="false">
      <c r="A36" s="17" t="s">
        <v>4</v>
      </c>
      <c r="B36" s="18"/>
      <c r="C36" s="19" t="s">
        <v>42</v>
      </c>
      <c r="D36" s="19" t="s">
        <v>40</v>
      </c>
      <c r="E36" s="17" t="s">
        <v>47</v>
      </c>
      <c r="F36" s="20" t="s">
        <v>216</v>
      </c>
      <c r="G36" s="20" t="s">
        <v>216</v>
      </c>
      <c r="H36" s="17" t="s">
        <v>105</v>
      </c>
      <c r="I36" s="19" t="s">
        <v>211</v>
      </c>
    </row>
    <row r="37" customFormat="false" ht="17.15" hidden="false" customHeight="false" outlineLevel="0" collapsed="false">
      <c r="A37" s="17" t="s">
        <v>4</v>
      </c>
      <c r="B37" s="18"/>
      <c r="C37" s="19" t="s">
        <v>42</v>
      </c>
      <c r="D37" s="19" t="s">
        <v>40</v>
      </c>
      <c r="E37" s="17" t="s">
        <v>48</v>
      </c>
      <c r="F37" s="20" t="s">
        <v>217</v>
      </c>
      <c r="G37" s="20" t="s">
        <v>217</v>
      </c>
      <c r="H37" s="17" t="s">
        <v>105</v>
      </c>
      <c r="I37" s="19" t="s">
        <v>211</v>
      </c>
    </row>
    <row r="38" customFormat="false" ht="17.15" hidden="false" customHeight="false" outlineLevel="0" collapsed="false">
      <c r="A38" s="17" t="s">
        <v>4</v>
      </c>
      <c r="B38" s="18"/>
      <c r="C38" s="19" t="s">
        <v>42</v>
      </c>
      <c r="D38" s="19" t="s">
        <v>40</v>
      </c>
      <c r="E38" s="17" t="s">
        <v>49</v>
      </c>
      <c r="F38" s="20" t="s">
        <v>218</v>
      </c>
      <c r="G38" s="20" t="s">
        <v>218</v>
      </c>
      <c r="H38" s="17" t="s">
        <v>105</v>
      </c>
      <c r="I38" s="19" t="s">
        <v>211</v>
      </c>
    </row>
    <row r="39" customFormat="false" ht="17.15" hidden="false" customHeight="false" outlineLevel="0" collapsed="false">
      <c r="A39" s="17" t="s">
        <v>4</v>
      </c>
      <c r="B39" s="18"/>
      <c r="C39" s="19" t="s">
        <v>42</v>
      </c>
      <c r="D39" s="19" t="s">
        <v>40</v>
      </c>
      <c r="E39" s="17" t="s">
        <v>50</v>
      </c>
      <c r="F39" s="20" t="s">
        <v>219</v>
      </c>
      <c r="G39" s="20" t="s">
        <v>219</v>
      </c>
      <c r="H39" s="17" t="s">
        <v>105</v>
      </c>
      <c r="I39" s="19" t="s">
        <v>211</v>
      </c>
    </row>
    <row r="40" customFormat="false" ht="17.15" hidden="false" customHeight="false" outlineLevel="0" collapsed="false">
      <c r="A40" s="17" t="s">
        <v>4</v>
      </c>
      <c r="B40" s="18"/>
      <c r="C40" s="19" t="s">
        <v>42</v>
      </c>
      <c r="D40" s="19" t="s">
        <v>40</v>
      </c>
      <c r="E40" s="19" t="s">
        <v>51</v>
      </c>
      <c r="F40" s="20" t="s">
        <v>220</v>
      </c>
      <c r="G40" s="20" t="s">
        <v>220</v>
      </c>
      <c r="H40" s="17" t="s">
        <v>105</v>
      </c>
      <c r="I40" s="19" t="s">
        <v>211</v>
      </c>
    </row>
    <row r="41" customFormat="false" ht="17.15" hidden="false" customHeight="false" outlineLevel="0" collapsed="false">
      <c r="A41" s="17" t="s">
        <v>4</v>
      </c>
      <c r="B41" s="18"/>
      <c r="C41" s="19" t="s">
        <v>42</v>
      </c>
      <c r="D41" s="19" t="s">
        <v>40</v>
      </c>
      <c r="E41" s="17" t="s">
        <v>52</v>
      </c>
      <c r="F41" s="20" t="s">
        <v>221</v>
      </c>
      <c r="G41" s="20" t="s">
        <v>221</v>
      </c>
      <c r="H41" s="17" t="s">
        <v>105</v>
      </c>
      <c r="I41" s="19" t="s">
        <v>211</v>
      </c>
    </row>
    <row r="42" customFormat="false" ht="17.15" hidden="false" customHeight="false" outlineLevel="0" collapsed="false">
      <c r="A42" s="17" t="s">
        <v>4</v>
      </c>
      <c r="B42" s="18"/>
      <c r="C42" s="19" t="s">
        <v>42</v>
      </c>
      <c r="D42" s="19" t="s">
        <v>40</v>
      </c>
      <c r="E42" s="17" t="s">
        <v>53</v>
      </c>
      <c r="F42" s="20" t="s">
        <v>222</v>
      </c>
      <c r="G42" s="20" t="s">
        <v>222</v>
      </c>
      <c r="H42" s="17" t="s">
        <v>105</v>
      </c>
      <c r="I42" s="19" t="s">
        <v>211</v>
      </c>
    </row>
    <row r="43" customFormat="false" ht="17.15" hidden="false" customHeight="false" outlineLevel="0" collapsed="false">
      <c r="A43" s="17" t="s">
        <v>4</v>
      </c>
      <c r="B43" s="18"/>
      <c r="C43" s="19" t="s">
        <v>42</v>
      </c>
      <c r="D43" s="19" t="s">
        <v>40</v>
      </c>
      <c r="E43" s="17" t="s">
        <v>54</v>
      </c>
      <c r="F43" s="20" t="s">
        <v>223</v>
      </c>
      <c r="G43" s="20" t="s">
        <v>223</v>
      </c>
      <c r="H43" s="17" t="s">
        <v>105</v>
      </c>
      <c r="I43" s="19" t="s">
        <v>211</v>
      </c>
    </row>
    <row r="44" customFormat="false" ht="17.15" hidden="false" customHeight="false" outlineLevel="0" collapsed="false">
      <c r="A44" s="17" t="s">
        <v>4</v>
      </c>
      <c r="B44" s="18"/>
      <c r="C44" s="19" t="s">
        <v>42</v>
      </c>
      <c r="D44" s="19" t="s">
        <v>40</v>
      </c>
      <c r="E44" s="17" t="s">
        <v>55</v>
      </c>
      <c r="F44" s="20" t="s">
        <v>224</v>
      </c>
      <c r="G44" s="20" t="s">
        <v>224</v>
      </c>
      <c r="H44" s="17" t="s">
        <v>105</v>
      </c>
      <c r="I44" s="19" t="s">
        <v>211</v>
      </c>
    </row>
    <row r="45" customFormat="false" ht="17.15" hidden="false" customHeight="false" outlineLevel="0" collapsed="false">
      <c r="A45" s="17" t="s">
        <v>4</v>
      </c>
      <c r="B45" s="18"/>
      <c r="C45" s="19" t="s">
        <v>42</v>
      </c>
      <c r="D45" s="19" t="s">
        <v>40</v>
      </c>
      <c r="E45" s="17" t="s">
        <v>56</v>
      </c>
      <c r="F45" s="20" t="s">
        <v>225</v>
      </c>
      <c r="G45" s="20" t="s">
        <v>225</v>
      </c>
      <c r="H45" s="17" t="s">
        <v>105</v>
      </c>
      <c r="I45" s="19" t="s">
        <v>211</v>
      </c>
    </row>
    <row r="46" customFormat="false" ht="17.15" hidden="false" customHeight="false" outlineLevel="0" collapsed="false">
      <c r="A46" s="17" t="s">
        <v>4</v>
      </c>
      <c r="B46" s="18"/>
      <c r="C46" s="19" t="s">
        <v>42</v>
      </c>
      <c r="D46" s="19" t="s">
        <v>40</v>
      </c>
      <c r="E46" s="17" t="s">
        <v>57</v>
      </c>
      <c r="F46" s="20" t="s">
        <v>226</v>
      </c>
      <c r="G46" s="20" t="s">
        <v>226</v>
      </c>
      <c r="H46" s="17" t="s">
        <v>105</v>
      </c>
      <c r="I46" s="19" t="s">
        <v>211</v>
      </c>
    </row>
    <row r="47" customFormat="false" ht="17.15" hidden="false" customHeight="false" outlineLevel="0" collapsed="false">
      <c r="A47" s="17" t="s">
        <v>4</v>
      </c>
      <c r="B47" s="18"/>
      <c r="C47" s="19" t="s">
        <v>42</v>
      </c>
      <c r="D47" s="19" t="s">
        <v>40</v>
      </c>
      <c r="E47" s="17" t="s">
        <v>58</v>
      </c>
      <c r="F47" s="20" t="s">
        <v>227</v>
      </c>
      <c r="G47" s="20" t="s">
        <v>227</v>
      </c>
      <c r="H47" s="17" t="s">
        <v>105</v>
      </c>
      <c r="I47" s="19" t="s">
        <v>211</v>
      </c>
    </row>
    <row r="48" customFormat="false" ht="17.15" hidden="false" customHeight="false" outlineLevel="0" collapsed="false">
      <c r="A48" s="17" t="s">
        <v>4</v>
      </c>
      <c r="B48" s="18"/>
      <c r="C48" s="19" t="s">
        <v>61</v>
      </c>
      <c r="D48" s="19" t="s">
        <v>59</v>
      </c>
      <c r="E48" s="17" t="s">
        <v>60</v>
      </c>
      <c r="F48" s="20" t="s">
        <v>228</v>
      </c>
      <c r="G48" s="20" t="s">
        <v>228</v>
      </c>
      <c r="H48" s="17" t="s">
        <v>105</v>
      </c>
      <c r="I48" s="19" t="s">
        <v>229</v>
      </c>
    </row>
    <row r="49" customFormat="false" ht="17.15" hidden="false" customHeight="false" outlineLevel="0" collapsed="false">
      <c r="A49" s="17" t="s">
        <v>4</v>
      </c>
      <c r="B49" s="18"/>
      <c r="C49" s="19" t="s">
        <v>61</v>
      </c>
      <c r="D49" s="19" t="s">
        <v>59</v>
      </c>
      <c r="E49" s="17" t="s">
        <v>62</v>
      </c>
      <c r="F49" s="20" t="s">
        <v>230</v>
      </c>
      <c r="G49" s="20" t="s">
        <v>230</v>
      </c>
      <c r="H49" s="17" t="s">
        <v>105</v>
      </c>
      <c r="I49" s="19" t="s">
        <v>229</v>
      </c>
    </row>
    <row r="50" customFormat="false" ht="17.15" hidden="false" customHeight="false" outlineLevel="0" collapsed="false">
      <c r="A50" s="17" t="s">
        <v>4</v>
      </c>
      <c r="B50" s="18"/>
      <c r="C50" s="19" t="s">
        <v>61</v>
      </c>
      <c r="D50" s="19" t="s">
        <v>59</v>
      </c>
      <c r="E50" s="17" t="s">
        <v>63</v>
      </c>
      <c r="F50" s="20" t="s">
        <v>231</v>
      </c>
      <c r="G50" s="20" t="s">
        <v>231</v>
      </c>
      <c r="H50" s="17" t="s">
        <v>105</v>
      </c>
      <c r="I50" s="19" t="s">
        <v>229</v>
      </c>
    </row>
    <row r="51" customFormat="false" ht="17.15" hidden="false" customHeight="false" outlineLevel="0" collapsed="false">
      <c r="A51" s="17" t="s">
        <v>5</v>
      </c>
      <c r="B51" s="18" t="n">
        <v>1</v>
      </c>
      <c r="C51" s="17" t="s">
        <v>10</v>
      </c>
      <c r="D51" s="17" t="s">
        <v>232</v>
      </c>
      <c r="E51" s="17" t="s">
        <v>233</v>
      </c>
      <c r="F51" s="20" t="s">
        <v>234</v>
      </c>
      <c r="G51" s="20" t="s">
        <v>235</v>
      </c>
      <c r="H51" s="17" t="s">
        <v>236</v>
      </c>
      <c r="I51" s="17" t="s">
        <v>237</v>
      </c>
    </row>
    <row r="52" customFormat="false" ht="17.15" hidden="false" customHeight="false" outlineLevel="0" collapsed="false">
      <c r="A52" s="17" t="s">
        <v>5</v>
      </c>
      <c r="B52" s="18" t="n">
        <v>1</v>
      </c>
      <c r="C52" s="17" t="s">
        <v>10</v>
      </c>
      <c r="D52" s="17" t="s">
        <v>142</v>
      </c>
      <c r="E52" s="17" t="s">
        <v>238</v>
      </c>
      <c r="F52" s="20" t="s">
        <v>239</v>
      </c>
      <c r="G52" s="20" t="s">
        <v>240</v>
      </c>
      <c r="H52" s="17" t="s">
        <v>145</v>
      </c>
      <c r="I52" s="17" t="s">
        <v>241</v>
      </c>
    </row>
    <row r="53" customFormat="false" ht="17.15" hidden="false" customHeight="false" outlineLevel="0" collapsed="false">
      <c r="A53" s="17" t="s">
        <v>5</v>
      </c>
      <c r="B53" s="18" t="n">
        <v>1</v>
      </c>
      <c r="C53" s="17" t="s">
        <v>10</v>
      </c>
      <c r="D53" s="17" t="s">
        <v>142</v>
      </c>
      <c r="E53" s="17" t="s">
        <v>242</v>
      </c>
      <c r="F53" s="20" t="s">
        <v>243</v>
      </c>
      <c r="G53" s="20" t="s">
        <v>244</v>
      </c>
      <c r="H53" s="17" t="s">
        <v>145</v>
      </c>
      <c r="I53" s="19" t="s">
        <v>245</v>
      </c>
    </row>
    <row r="54" customFormat="false" ht="17.15" hidden="false" customHeight="false" outlineLevel="0" collapsed="false">
      <c r="A54" s="17" t="s">
        <v>5</v>
      </c>
      <c r="B54" s="18" t="n">
        <v>1</v>
      </c>
      <c r="C54" s="17" t="s">
        <v>10</v>
      </c>
      <c r="D54" s="17" t="s">
        <v>142</v>
      </c>
      <c r="E54" s="17" t="s">
        <v>246</v>
      </c>
      <c r="F54" s="20" t="s">
        <v>247</v>
      </c>
      <c r="G54" s="20" t="s">
        <v>248</v>
      </c>
      <c r="H54" s="17" t="s">
        <v>145</v>
      </c>
      <c r="I54" s="17" t="s">
        <v>249</v>
      </c>
    </row>
    <row r="55" customFormat="false" ht="17.15" hidden="false" customHeight="false" outlineLevel="0" collapsed="false">
      <c r="A55" s="17" t="s">
        <v>5</v>
      </c>
      <c r="B55" s="18" t="n">
        <v>2</v>
      </c>
      <c r="C55" s="19" t="s">
        <v>14</v>
      </c>
      <c r="D55" s="17" t="s">
        <v>250</v>
      </c>
      <c r="E55" s="17" t="s">
        <v>251</v>
      </c>
      <c r="F55" s="20" t="s">
        <v>252</v>
      </c>
      <c r="G55" s="20" t="s">
        <v>253</v>
      </c>
      <c r="H55" s="17" t="s">
        <v>165</v>
      </c>
      <c r="I55" s="17" t="s">
        <v>254</v>
      </c>
    </row>
    <row r="56" customFormat="false" ht="17.15" hidden="false" customHeight="false" outlineLevel="0" collapsed="false">
      <c r="A56" s="17" t="s">
        <v>5</v>
      </c>
      <c r="B56" s="18" t="n">
        <v>2</v>
      </c>
      <c r="C56" s="19" t="s">
        <v>14</v>
      </c>
      <c r="D56" s="17" t="s">
        <v>250</v>
      </c>
      <c r="E56" s="17" t="s">
        <v>255</v>
      </c>
      <c r="F56" s="20" t="s">
        <v>256</v>
      </c>
      <c r="G56" s="20" t="s">
        <v>257</v>
      </c>
      <c r="H56" s="17" t="s">
        <v>165</v>
      </c>
      <c r="I56" s="17" t="s">
        <v>258</v>
      </c>
    </row>
    <row r="57" customFormat="false" ht="17.15" hidden="false" customHeight="false" outlineLevel="0" collapsed="false">
      <c r="A57" s="17" t="s">
        <v>5</v>
      </c>
      <c r="B57" s="18" t="n">
        <v>2</v>
      </c>
      <c r="C57" s="19" t="s">
        <v>14</v>
      </c>
      <c r="D57" s="17" t="s">
        <v>64</v>
      </c>
      <c r="E57" s="17" t="s">
        <v>65</v>
      </c>
      <c r="F57" s="20" t="s">
        <v>259</v>
      </c>
      <c r="G57" s="20" t="s">
        <v>260</v>
      </c>
      <c r="H57" s="17" t="s">
        <v>236</v>
      </c>
      <c r="I57" s="17" t="s">
        <v>261</v>
      </c>
    </row>
    <row r="58" customFormat="false" ht="17.15" hidden="false" customHeight="false" outlineLevel="0" collapsed="false">
      <c r="A58" s="17" t="s">
        <v>5</v>
      </c>
      <c r="B58" s="18" t="n">
        <v>2</v>
      </c>
      <c r="C58" s="19" t="s">
        <v>14</v>
      </c>
      <c r="D58" s="17" t="s">
        <v>64</v>
      </c>
      <c r="E58" s="17" t="s">
        <v>67</v>
      </c>
      <c r="F58" s="20" t="s">
        <v>262</v>
      </c>
      <c r="G58" s="20" t="s">
        <v>263</v>
      </c>
      <c r="H58" s="17" t="s">
        <v>236</v>
      </c>
      <c r="I58" s="17" t="s">
        <v>264</v>
      </c>
    </row>
    <row r="59" customFormat="false" ht="17.15" hidden="false" customHeight="false" outlineLevel="0" collapsed="false">
      <c r="A59" s="17" t="s">
        <v>5</v>
      </c>
      <c r="B59" s="18" t="n">
        <v>2</v>
      </c>
      <c r="C59" s="19" t="s">
        <v>14</v>
      </c>
      <c r="D59" s="17" t="s">
        <v>64</v>
      </c>
      <c r="E59" s="17" t="s">
        <v>68</v>
      </c>
      <c r="F59" s="20" t="s">
        <v>265</v>
      </c>
      <c r="G59" s="20" t="s">
        <v>266</v>
      </c>
      <c r="H59" s="17" t="s">
        <v>236</v>
      </c>
      <c r="I59" s="17" t="s">
        <v>261</v>
      </c>
    </row>
    <row r="60" customFormat="false" ht="17.15" hidden="false" customHeight="false" outlineLevel="0" collapsed="false">
      <c r="A60" s="17" t="s">
        <v>5</v>
      </c>
      <c r="B60" s="18" t="n">
        <v>2</v>
      </c>
      <c r="C60" s="19" t="s">
        <v>14</v>
      </c>
      <c r="D60" s="17" t="s">
        <v>69</v>
      </c>
      <c r="E60" s="17" t="s">
        <v>70</v>
      </c>
      <c r="F60" s="20" t="s">
        <v>267</v>
      </c>
      <c r="G60" s="20" t="s">
        <v>268</v>
      </c>
      <c r="H60" s="17" t="s">
        <v>236</v>
      </c>
      <c r="I60" s="19" t="s">
        <v>269</v>
      </c>
    </row>
    <row r="61" customFormat="false" ht="17.15" hidden="false" customHeight="false" outlineLevel="0" collapsed="false">
      <c r="A61" s="17" t="s">
        <v>5</v>
      </c>
      <c r="B61" s="18" t="n">
        <v>2</v>
      </c>
      <c r="C61" s="19" t="s">
        <v>14</v>
      </c>
      <c r="D61" s="17" t="s">
        <v>71</v>
      </c>
      <c r="E61" s="17" t="s">
        <v>72</v>
      </c>
      <c r="F61" s="20" t="s">
        <v>270</v>
      </c>
      <c r="G61" s="20" t="s">
        <v>271</v>
      </c>
      <c r="H61" s="17" t="s">
        <v>236</v>
      </c>
      <c r="I61" s="17" t="s">
        <v>272</v>
      </c>
    </row>
    <row r="62" customFormat="false" ht="17.15" hidden="false" customHeight="false" outlineLevel="0" collapsed="false">
      <c r="A62" s="17" t="s">
        <v>5</v>
      </c>
      <c r="B62" s="18" t="n">
        <v>3</v>
      </c>
      <c r="C62" s="19" t="s">
        <v>18</v>
      </c>
      <c r="D62" s="17" t="s">
        <v>142</v>
      </c>
      <c r="E62" s="17" t="s">
        <v>273</v>
      </c>
      <c r="F62" s="20" t="s">
        <v>274</v>
      </c>
      <c r="G62" s="20" t="s">
        <v>275</v>
      </c>
      <c r="H62" s="17" t="s">
        <v>145</v>
      </c>
      <c r="I62" s="19" t="s">
        <v>276</v>
      </c>
    </row>
    <row r="63" customFormat="false" ht="17.15" hidden="false" customHeight="false" outlineLevel="0" collapsed="false">
      <c r="A63" s="17" t="s">
        <v>5</v>
      </c>
      <c r="B63" s="18" t="n">
        <v>3</v>
      </c>
      <c r="C63" s="19" t="s">
        <v>18</v>
      </c>
      <c r="D63" s="17" t="s">
        <v>142</v>
      </c>
      <c r="E63" s="17" t="s">
        <v>277</v>
      </c>
      <c r="F63" s="20" t="s">
        <v>278</v>
      </c>
      <c r="G63" s="20" t="s">
        <v>279</v>
      </c>
      <c r="H63" s="17" t="s">
        <v>145</v>
      </c>
      <c r="I63" s="17" t="s">
        <v>280</v>
      </c>
    </row>
    <row r="64" customFormat="false" ht="17.15" hidden="false" customHeight="false" outlineLevel="0" collapsed="false">
      <c r="A64" s="17" t="s">
        <v>5</v>
      </c>
      <c r="B64" s="18" t="n">
        <v>4</v>
      </c>
      <c r="C64" s="17" t="s">
        <v>22</v>
      </c>
      <c r="D64" s="17" t="s">
        <v>71</v>
      </c>
      <c r="E64" s="17" t="s">
        <v>73</v>
      </c>
      <c r="F64" s="20" t="s">
        <v>281</v>
      </c>
      <c r="G64" s="20" t="s">
        <v>282</v>
      </c>
      <c r="H64" s="17" t="s">
        <v>236</v>
      </c>
      <c r="I64" s="17" t="s">
        <v>283</v>
      </c>
    </row>
    <row r="65" customFormat="false" ht="17.15" hidden="false" customHeight="false" outlineLevel="0" collapsed="false">
      <c r="A65" s="17" t="s">
        <v>5</v>
      </c>
      <c r="B65" s="18" t="n">
        <v>4</v>
      </c>
      <c r="C65" s="17" t="s">
        <v>22</v>
      </c>
      <c r="D65" s="17" t="s">
        <v>71</v>
      </c>
      <c r="E65" s="17" t="s">
        <v>75</v>
      </c>
      <c r="F65" s="20" t="s">
        <v>284</v>
      </c>
      <c r="G65" s="20" t="s">
        <v>285</v>
      </c>
      <c r="H65" s="17" t="s">
        <v>236</v>
      </c>
      <c r="I65" s="17" t="s">
        <v>283</v>
      </c>
    </row>
    <row r="66" customFormat="false" ht="17.15" hidden="false" customHeight="false" outlineLevel="0" collapsed="false">
      <c r="A66" s="17" t="s">
        <v>5</v>
      </c>
      <c r="B66" s="18" t="n">
        <v>4</v>
      </c>
      <c r="C66" s="17" t="s">
        <v>22</v>
      </c>
      <c r="D66" s="17" t="s">
        <v>71</v>
      </c>
      <c r="E66" s="17" t="s">
        <v>76</v>
      </c>
      <c r="F66" s="20" t="s">
        <v>286</v>
      </c>
      <c r="G66" s="20" t="s">
        <v>287</v>
      </c>
      <c r="H66" s="17" t="s">
        <v>236</v>
      </c>
      <c r="I66" s="17" t="s">
        <v>283</v>
      </c>
    </row>
    <row r="67" customFormat="false" ht="17.15" hidden="false" customHeight="false" outlineLevel="0" collapsed="false">
      <c r="A67" s="17" t="s">
        <v>5</v>
      </c>
      <c r="B67" s="18" t="n">
        <v>5</v>
      </c>
      <c r="C67" s="17" t="s">
        <v>26</v>
      </c>
      <c r="D67" s="17" t="s">
        <v>77</v>
      </c>
      <c r="E67" s="17" t="s">
        <v>78</v>
      </c>
      <c r="F67" s="20" t="s">
        <v>288</v>
      </c>
      <c r="G67" s="20" t="s">
        <v>289</v>
      </c>
      <c r="H67" s="17" t="s">
        <v>236</v>
      </c>
      <c r="I67" s="17" t="s">
        <v>290</v>
      </c>
    </row>
    <row r="68" customFormat="false" ht="17.15" hidden="false" customHeight="false" outlineLevel="0" collapsed="false">
      <c r="A68" s="17" t="s">
        <v>5</v>
      </c>
      <c r="B68" s="18" t="n">
        <v>5</v>
      </c>
      <c r="C68" s="17" t="s">
        <v>26</v>
      </c>
      <c r="D68" s="17" t="s">
        <v>77</v>
      </c>
      <c r="E68" s="17" t="s">
        <v>80</v>
      </c>
      <c r="F68" s="20" t="s">
        <v>291</v>
      </c>
      <c r="G68" s="20" t="s">
        <v>292</v>
      </c>
      <c r="H68" s="17" t="s">
        <v>236</v>
      </c>
      <c r="I68" s="17" t="s">
        <v>293</v>
      </c>
    </row>
    <row r="69" customFormat="false" ht="17.15" hidden="false" customHeight="false" outlineLevel="0" collapsed="false">
      <c r="A69" s="17" t="s">
        <v>5</v>
      </c>
      <c r="B69" s="18" t="n">
        <v>5</v>
      </c>
      <c r="C69" s="17" t="s">
        <v>26</v>
      </c>
      <c r="D69" s="17" t="s">
        <v>77</v>
      </c>
      <c r="E69" s="17" t="s">
        <v>81</v>
      </c>
      <c r="F69" s="20" t="s">
        <v>294</v>
      </c>
      <c r="G69" s="20" t="s">
        <v>295</v>
      </c>
      <c r="H69" s="17" t="s">
        <v>236</v>
      </c>
      <c r="I69" s="17" t="s">
        <v>290</v>
      </c>
    </row>
    <row r="70" customFormat="false" ht="17.15" hidden="false" customHeight="false" outlineLevel="0" collapsed="false">
      <c r="A70" s="17" t="s">
        <v>5</v>
      </c>
      <c r="B70" s="18" t="n">
        <v>5</v>
      </c>
      <c r="C70" s="17" t="s">
        <v>26</v>
      </c>
      <c r="D70" s="17" t="s">
        <v>77</v>
      </c>
      <c r="E70" s="19" t="s">
        <v>82</v>
      </c>
      <c r="F70" s="20" t="s">
        <v>296</v>
      </c>
      <c r="G70" s="20" t="s">
        <v>297</v>
      </c>
      <c r="H70" s="17" t="s">
        <v>236</v>
      </c>
      <c r="I70" s="17" t="s">
        <v>298</v>
      </c>
    </row>
    <row r="71" customFormat="false" ht="17.15" hidden="false" customHeight="false" outlineLevel="0" collapsed="false">
      <c r="A71" s="17" t="s">
        <v>5</v>
      </c>
      <c r="B71" s="18" t="n">
        <v>5</v>
      </c>
      <c r="C71" s="17" t="s">
        <v>26</v>
      </c>
      <c r="D71" s="17" t="s">
        <v>77</v>
      </c>
      <c r="E71" s="17" t="s">
        <v>83</v>
      </c>
      <c r="F71" s="20" t="s">
        <v>299</v>
      </c>
      <c r="G71" s="20" t="s">
        <v>300</v>
      </c>
      <c r="H71" s="17" t="s">
        <v>236</v>
      </c>
      <c r="I71" s="17" t="s">
        <v>290</v>
      </c>
    </row>
    <row r="72" customFormat="false" ht="17.15" hidden="false" customHeight="false" outlineLevel="0" collapsed="false">
      <c r="A72" s="17" t="s">
        <v>5</v>
      </c>
      <c r="B72" s="18" t="n">
        <v>5</v>
      </c>
      <c r="C72" s="17" t="s">
        <v>26</v>
      </c>
      <c r="D72" s="17" t="s">
        <v>77</v>
      </c>
      <c r="E72" s="17" t="s">
        <v>84</v>
      </c>
      <c r="F72" s="20" t="s">
        <v>301</v>
      </c>
      <c r="G72" s="20" t="s">
        <v>302</v>
      </c>
      <c r="H72" s="17" t="s">
        <v>236</v>
      </c>
      <c r="I72" s="17" t="s">
        <v>290</v>
      </c>
    </row>
    <row r="73" customFormat="false" ht="17.15" hidden="false" customHeight="false" outlineLevel="0" collapsed="false">
      <c r="A73" s="17" t="s">
        <v>5</v>
      </c>
      <c r="B73" s="18" t="n">
        <v>5</v>
      </c>
      <c r="C73" s="17" t="s">
        <v>26</v>
      </c>
      <c r="D73" s="17" t="s">
        <v>77</v>
      </c>
      <c r="E73" s="17" t="s">
        <v>85</v>
      </c>
      <c r="F73" s="20" t="s">
        <v>303</v>
      </c>
      <c r="G73" s="20" t="s">
        <v>304</v>
      </c>
      <c r="H73" s="17" t="s">
        <v>236</v>
      </c>
      <c r="I73" s="17" t="s">
        <v>290</v>
      </c>
    </row>
    <row r="74" customFormat="false" ht="17.15" hidden="false" customHeight="false" outlineLevel="0" collapsed="false">
      <c r="A74" s="17" t="s">
        <v>5</v>
      </c>
      <c r="B74" s="18" t="n">
        <v>5</v>
      </c>
      <c r="C74" s="17" t="s">
        <v>26</v>
      </c>
      <c r="D74" s="17" t="s">
        <v>77</v>
      </c>
      <c r="E74" s="17" t="s">
        <v>86</v>
      </c>
      <c r="F74" s="20" t="s">
        <v>305</v>
      </c>
      <c r="G74" s="20" t="s">
        <v>306</v>
      </c>
      <c r="H74" s="17" t="s">
        <v>236</v>
      </c>
      <c r="I74" s="17" t="s">
        <v>290</v>
      </c>
    </row>
    <row r="75" customFormat="false" ht="17.15" hidden="false" customHeight="false" outlineLevel="0" collapsed="false">
      <c r="A75" s="17" t="s">
        <v>5</v>
      </c>
      <c r="B75" s="18" t="n">
        <v>6</v>
      </c>
      <c r="C75" s="17" t="s">
        <v>30</v>
      </c>
      <c r="D75" s="17" t="s">
        <v>142</v>
      </c>
      <c r="E75" s="17" t="s">
        <v>307</v>
      </c>
      <c r="F75" s="20" t="s">
        <v>308</v>
      </c>
      <c r="G75" s="20" t="s">
        <v>309</v>
      </c>
      <c r="H75" s="17" t="s">
        <v>145</v>
      </c>
      <c r="I75" s="19"/>
    </row>
    <row r="76" customFormat="false" ht="17.15" hidden="false" customHeight="false" outlineLevel="0" collapsed="false">
      <c r="A76" s="17" t="s">
        <v>5</v>
      </c>
      <c r="B76" s="18" t="n">
        <v>6</v>
      </c>
      <c r="C76" s="17" t="s">
        <v>30</v>
      </c>
      <c r="D76" s="17" t="s">
        <v>142</v>
      </c>
      <c r="E76" s="17" t="s">
        <v>310</v>
      </c>
      <c r="F76" s="20" t="s">
        <v>311</v>
      </c>
      <c r="G76" s="20" t="s">
        <v>312</v>
      </c>
      <c r="H76" s="17" t="s">
        <v>145</v>
      </c>
      <c r="I76" s="17" t="s">
        <v>313</v>
      </c>
    </row>
    <row r="77" customFormat="false" ht="17.15" hidden="false" customHeight="false" outlineLevel="0" collapsed="false">
      <c r="A77" s="17" t="s">
        <v>6</v>
      </c>
      <c r="B77" s="18" t="n">
        <v>1</v>
      </c>
      <c r="C77" s="17" t="s">
        <v>10</v>
      </c>
      <c r="D77" s="17" t="s">
        <v>142</v>
      </c>
      <c r="E77" s="17" t="s">
        <v>314</v>
      </c>
      <c r="F77" s="20" t="s">
        <v>315</v>
      </c>
      <c r="G77" s="20" t="s">
        <v>316</v>
      </c>
      <c r="H77" s="17" t="s">
        <v>145</v>
      </c>
      <c r="I77" s="17" t="s">
        <v>317</v>
      </c>
    </row>
    <row r="78" customFormat="false" ht="17.15" hidden="false" customHeight="false" outlineLevel="0" collapsed="false">
      <c r="A78" s="17" t="s">
        <v>6</v>
      </c>
      <c r="B78" s="18" t="n">
        <v>1</v>
      </c>
      <c r="C78" s="17" t="s">
        <v>10</v>
      </c>
      <c r="D78" s="17" t="s">
        <v>142</v>
      </c>
      <c r="E78" s="19" t="s">
        <v>318</v>
      </c>
      <c r="F78" s="20" t="s">
        <v>319</v>
      </c>
      <c r="G78" s="20" t="s">
        <v>320</v>
      </c>
      <c r="H78" s="17" t="s">
        <v>145</v>
      </c>
      <c r="I78" s="17" t="s">
        <v>321</v>
      </c>
    </row>
    <row r="79" customFormat="false" ht="17.15" hidden="false" customHeight="false" outlineLevel="0" collapsed="false">
      <c r="A79" s="17" t="s">
        <v>6</v>
      </c>
      <c r="B79" s="18" t="n">
        <v>2</v>
      </c>
      <c r="C79" s="19" t="s">
        <v>14</v>
      </c>
      <c r="D79" s="17" t="s">
        <v>87</v>
      </c>
      <c r="E79" s="19" t="s">
        <v>88</v>
      </c>
      <c r="F79" s="20" t="s">
        <v>322</v>
      </c>
      <c r="G79" s="20" t="s">
        <v>323</v>
      </c>
      <c r="H79" s="17" t="s">
        <v>236</v>
      </c>
      <c r="I79" s="17" t="s">
        <v>324</v>
      </c>
    </row>
    <row r="80" customFormat="false" ht="17.15" hidden="false" customHeight="false" outlineLevel="0" collapsed="false">
      <c r="A80" s="17" t="s">
        <v>6</v>
      </c>
      <c r="B80" s="18" t="n">
        <v>2</v>
      </c>
      <c r="C80" s="19" t="s">
        <v>14</v>
      </c>
      <c r="D80" s="17" t="s">
        <v>87</v>
      </c>
      <c r="E80" s="17" t="s">
        <v>89</v>
      </c>
      <c r="F80" s="20" t="s">
        <v>325</v>
      </c>
      <c r="G80" s="20" t="s">
        <v>326</v>
      </c>
      <c r="H80" s="17" t="s">
        <v>236</v>
      </c>
      <c r="I80" s="17" t="s">
        <v>327</v>
      </c>
    </row>
    <row r="81" customFormat="false" ht="17.15" hidden="false" customHeight="false" outlineLevel="0" collapsed="false">
      <c r="A81" s="17" t="s">
        <v>6</v>
      </c>
      <c r="B81" s="18" t="n">
        <v>3</v>
      </c>
      <c r="C81" s="19" t="s">
        <v>18</v>
      </c>
      <c r="D81" s="17" t="s">
        <v>142</v>
      </c>
      <c r="E81" s="17" t="s">
        <v>21</v>
      </c>
      <c r="F81" s="20" t="s">
        <v>328</v>
      </c>
      <c r="G81" s="20" t="s">
        <v>329</v>
      </c>
      <c r="H81" s="17" t="s">
        <v>145</v>
      </c>
      <c r="I81" s="19" t="s">
        <v>330</v>
      </c>
    </row>
    <row r="82" customFormat="false" ht="17.15" hidden="false" customHeight="false" outlineLevel="0" collapsed="false">
      <c r="A82" s="17" t="s">
        <v>6</v>
      </c>
      <c r="B82" s="18" t="n">
        <v>4</v>
      </c>
      <c r="C82" s="17" t="s">
        <v>22</v>
      </c>
      <c r="D82" s="17" t="s">
        <v>142</v>
      </c>
      <c r="E82" s="17" t="s">
        <v>25</v>
      </c>
      <c r="F82" s="20" t="s">
        <v>331</v>
      </c>
      <c r="G82" s="20" t="s">
        <v>332</v>
      </c>
      <c r="H82" s="17" t="s">
        <v>145</v>
      </c>
      <c r="I82" s="17" t="s">
        <v>333</v>
      </c>
    </row>
    <row r="83" customFormat="false" ht="17.15" hidden="false" customHeight="false" outlineLevel="0" collapsed="false">
      <c r="A83" s="17" t="s">
        <v>6</v>
      </c>
      <c r="B83" s="18" t="n">
        <v>6</v>
      </c>
      <c r="C83" s="17" t="s">
        <v>30</v>
      </c>
      <c r="D83" s="17" t="s">
        <v>142</v>
      </c>
      <c r="E83" s="17" t="s">
        <v>334</v>
      </c>
      <c r="F83" s="20" t="s">
        <v>335</v>
      </c>
      <c r="G83" s="20" t="s">
        <v>336</v>
      </c>
      <c r="H83" s="17" t="s">
        <v>145</v>
      </c>
      <c r="I83" s="19"/>
    </row>
    <row r="84" customFormat="false" ht="17.15" hidden="false" customHeight="false" outlineLevel="0" collapsed="false">
      <c r="A84" s="17" t="s">
        <v>6</v>
      </c>
      <c r="B84" s="18" t="n">
        <v>6</v>
      </c>
      <c r="C84" s="17" t="s">
        <v>30</v>
      </c>
      <c r="D84" s="17" t="s">
        <v>142</v>
      </c>
      <c r="E84" s="17" t="s">
        <v>337</v>
      </c>
      <c r="F84" s="20" t="s">
        <v>338</v>
      </c>
      <c r="G84" s="20" t="s">
        <v>339</v>
      </c>
      <c r="H84" s="17" t="s">
        <v>145</v>
      </c>
      <c r="I84" s="19"/>
    </row>
    <row r="85" customFormat="false" ht="17.15" hidden="false" customHeight="false" outlineLevel="0" collapsed="false">
      <c r="A85" s="17" t="s">
        <v>6</v>
      </c>
      <c r="B85" s="18" t="n">
        <v>6</v>
      </c>
      <c r="C85" s="17" t="s">
        <v>30</v>
      </c>
      <c r="D85" s="17" t="s">
        <v>142</v>
      </c>
      <c r="E85" s="17" t="s">
        <v>340</v>
      </c>
      <c r="F85" s="20" t="s">
        <v>341</v>
      </c>
      <c r="G85" s="20" t="s">
        <v>342</v>
      </c>
      <c r="H85" s="17" t="s">
        <v>145</v>
      </c>
      <c r="I85" s="19"/>
    </row>
    <row r="86" customFormat="false" ht="17.15" hidden="false" customHeight="false" outlineLevel="0" collapsed="false">
      <c r="A86" s="17" t="s">
        <v>6</v>
      </c>
      <c r="B86" s="18" t="n">
        <v>6</v>
      </c>
      <c r="C86" s="17" t="s">
        <v>30</v>
      </c>
      <c r="D86" s="17" t="s">
        <v>142</v>
      </c>
      <c r="E86" s="17" t="s">
        <v>343</v>
      </c>
      <c r="F86" s="20" t="s">
        <v>344</v>
      </c>
      <c r="G86" s="20" t="s">
        <v>345</v>
      </c>
      <c r="H86" s="17" t="s">
        <v>145</v>
      </c>
      <c r="I86" s="17" t="s">
        <v>346</v>
      </c>
    </row>
  </sheetData>
  <autoFilter ref="A1:I86"/>
  <conditionalFormatting sqref="A2:I86">
    <cfRule type="expression" priority="2" aboveAverage="0" equalAverage="0" bottom="0" percent="0" rank="0" text="" dxfId="7">
      <formula>$H2="구간 이동"</formula>
    </cfRule>
    <cfRule type="expression" priority="3" aboveAverage="0" equalAverage="0" bottom="0" percent="0" rank="0" text="" dxfId="8">
      <formula>$H2="추가"</formula>
    </cfRule>
    <cfRule type="expression" priority="4" aboveAverage="0" equalAverage="0" bottom="0" percent="0" rank="0" text="" dxfId="9">
      <formula>$H2="신규"</formula>
    </cfRule>
    <cfRule type="expression" priority="5" aboveAverage="0" equalAverage="0" bottom="0" percent="0" rank="0" text="" dxfId="10">
      <formula>$H2="탭 밖 이동"</formula>
    </cfRule>
  </conditionalFormatting>
  <dataValidations count="1">
    <dataValidation allowBlank="false" errorStyle="stop" operator="between" showDropDown="false" showErrorMessage="false" showInputMessage="false" sqref="H2:H86" type="list">
      <formula1>"유지,구간 이동,추가,신규,탭 밖 이동"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2026-10-16T15:01:49Z</dcterms:created>
  <dc:creator>openpyxl</dc:creator>
  <dc:description/>
  <dc:language>en-US</dc:language>
  <cp:lastModifiedBy/>
  <dcterms:modified xsi:type="dcterms:W3CDTF">2026-10-16T15:01:49Z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